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12.xml" ContentType="application/vnd.openxmlformats-officedocument.spreadsheetml.worksheet+xml"/>
  <Override PartName="/xl/drawings/drawing3.xml" ContentType="application/vnd.openxmlformats-officedocument.drawing+xml"/>
  <Override PartName="/xl/drawings/charts/chart5.xml" ContentType="application/vnd.openxmlformats-officedocument.drawingml.char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a3ade2e8504f93" /></Relationships>
</file>

<file path=xl/workbook.xml><?xml version="1.0" encoding="utf-8"?>
<x:workbook xmlns:x="http://schemas.openxmlformats.org/spreadsheetml/2006/main">
  <x:sheets>
    <x:sheet xmlns:r="http://schemas.openxmlformats.org/officeDocument/2006/relationships" name="README" sheetId="1" r:id="Rd2d399818bba4f4e"/>
    <x:sheet xmlns:r="http://schemas.openxmlformats.org/officeDocument/2006/relationships" name="FX_Rates" sheetId="2" r:id="R77e9e3948fd247df"/>
    <x:sheet xmlns:r="http://schemas.openxmlformats.org/officeDocument/2006/relationships" name="Country_Prices" sheetId="3" r:id="R82d37e28d2944de0"/>
    <x:sheet xmlns:r="http://schemas.openxmlformats.org/officeDocument/2006/relationships" name="Affordability" sheetId="4" r:id="Rbd24af6c3010489f"/>
    <x:sheet xmlns:r="http://schemas.openxmlformats.org/officeDocument/2006/relationships" name="India_Manufacturing" sheetId="5" r:id="R80d0cf402e364b59"/>
    <x:sheet xmlns:r="http://schemas.openxmlformats.org/officeDocument/2006/relationships" name="India_Price_Build" sheetId="6" r:id="Rd56e5e421d4144b4"/>
    <x:sheet xmlns:r="http://schemas.openxmlformats.org/officeDocument/2006/relationships" name="Source_Registry" sheetId="7" r:id="Rf930f423b3eb458e"/>
    <x:sheet xmlns:r="http://schemas.openxmlformats.org/officeDocument/2006/relationships" name="Executive_Summary" sheetId="8" r:id="R28f81c0b3d2c426d"/>
    <x:sheet xmlns:r="http://schemas.openxmlformats.org/officeDocument/2006/relationships" name="Consumer_Affordability" sheetId="9" r:id="R81e3d8df40c94b02"/>
    <x:sheet xmlns:r="http://schemas.openxmlformats.org/officeDocument/2006/relationships" name="Tax_Normalization" sheetId="10" r:id="Re19c582712d04c2e"/>
    <x:sheet xmlns:r="http://schemas.openxmlformats.org/officeDocument/2006/relationships" name="India_Timeline" sheetId="11" r:id="R5e70ea8713994953"/>
    <x:sheet xmlns:r="http://schemas.openxmlformats.org/officeDocument/2006/relationships" name="TCO_Model" sheetId="12" r:id="R7222876e7b6844af"/>
    <x:sheet xmlns:r="http://schemas.openxmlformats.org/officeDocument/2006/relationships" name="Android_Comparison" sheetId="13" r:id="R8e966376166746f4"/>
  </x:sheets>
</x:workbook>
</file>

<file path=xl/sharedStrings.xml><?xml version="1.0" encoding="utf-8"?>
<x:sst xmlns:x="http://schemas.openxmlformats.org/spreadsheetml/2006/main"/>
</file>

<file path=xl/styles.xml><?xml version="1.0" encoding="utf-8"?>
<x:styleSheet xmlns:x="http://schemas.openxmlformats.org/spreadsheetml/2006/main">
  <x:numFmts count="19">
    <x:numFmt numFmtId="200" formatCode="0.0000"/>
    <x:numFmt numFmtId="201" formatCode="#,##0.00"/>
    <x:numFmt numFmtId="202" formatCode="$#,##0.00;[Red]($#,##0.00);-"/>
    <x:numFmt numFmtId="203" formatCode="0.0%;[Red](0.0%);-"/>
    <x:numFmt numFmtId="204" formatCode="0"/>
    <x:numFmt numFmtId="205" formatCode="$#,##0.00"/>
    <x:numFmt numFmtId="206" formatCode="#,##0"/>
    <x:numFmt numFmtId="207" formatCode="0.0%"/>
    <x:numFmt numFmtId="208" formatCode="0.00"/>
    <x:numFmt numFmtId="209" formatCode="#,##0.0;[Red](#,##0.0);-"/>
    <x:numFmt numFmtId="210" formatCode="₹#,##0"/>
    <x:numFmt numFmtId="211" formatCode="₹#,##0.00"/>
    <x:numFmt numFmtId="212" formatCode="$#,##0"/>
    <x:numFmt numFmtId="213" formatCode="$0.0&quot;bn&quot;"/>
    <x:numFmt numFmtId="214" formatCode="$0.00"/>
    <x:numFmt numFmtId="215" formatCode="0%"/>
    <x:numFmt numFmtId="216" formatCode="$0.00;[Red]-$0.00"/>
    <x:numFmt numFmtId="217" formatCode="$0.0&quot;B&quot;"/>
    <x:numFmt numFmtId="218" formatCode="₹#,##0;[Red](₹#,##0);-"/>
  </x:numFmts>
  <x:fonts count="14">
    <x:font>
      <x:sz val="11"/>
      <x:name val="Carlito"/>
    </x:font>
    <x:font>
      <x:b/>
      <x:sz val="18"/>
      <x:color rgb="FFFFFFFF"/>
      <x:name val="Carlito"/>
    </x:font>
    <x:font>
      <x:b/>
      <x:sz val="11"/>
      <x:color rgb="FF1F1533"/>
      <x:name val="Carlito"/>
    </x:font>
    <x:font>
      <x:b/>
      <x:sz val="11"/>
      <x:color rgb="FFFFFFFF"/>
      <x:name val="Carlito"/>
    </x:font>
    <x:font>
      <x:i/>
      <x:sz val="11"/>
      <x:color rgb="FF6B6673"/>
      <x:name val="Carlito"/>
    </x:font>
    <x:font>
      <x:sz val="11"/>
      <x:color rgb="FF0000FF"/>
      <x:name val="Carlito"/>
    </x:font>
    <x:font>
      <x:sz val="11"/>
      <x:color rgb="FF008000"/>
      <x:name val="Carlito"/>
    </x:font>
    <x:font>
      <x:sz val="11"/>
      <x:color rgb="FF1F1533"/>
      <x:name val="Carlito"/>
    </x:font>
    <x:font>
      <x:b/>
      <x:sz val="16"/>
      <x:color rgb="FF4B1D95"/>
      <x:name val="Carlito"/>
    </x:font>
    <x:font>
      <x:b/>
      <x:sz val="12"/>
      <x:color rgb="FF1F1533"/>
      <x:name val="Carlito"/>
    </x:font>
    <x:font>
      <x:i/>
      <x:sz val="11"/>
      <x:color rgb="FF24153D"/>
      <x:name val="Carlito"/>
    </x:font>
    <x:font>
      <x:b/>
      <x:sz val="11"/>
      <x:color rgb="FF3E1B83"/>
      <x:name val="Carlito"/>
    </x:font>
    <x:font>
      <x:b/>
      <x:sz val="11"/>
      <x:color rgb="FF24153D"/>
      <x:name val="Carlito"/>
    </x:font>
    <x:font>
      <x:sz val="11"/>
      <x:color rgb="FF000000"/>
      <x:name val="Carlito"/>
    </x:font>
  </x:fonts>
  <x:fills count="19">
    <x:fill>
      <x:patternFill patternType="none"/>
    </x:fill>
    <x:fill>
      <x:patternFill patternType="gray125"/>
    </x:fill>
    <x:fill>
      <x:patternFill patternType="solid">
        <x:fgColor rgb="FF4B1D95"/>
      </x:patternFill>
    </x:fill>
    <x:fill>
      <x:patternFill patternType="solid">
        <x:fgColor rgb="FFEDE4FF"/>
      </x:patternFill>
    </x:fill>
    <x:fill>
      <x:patternFill patternType="solid">
        <x:fgColor rgb="FFF8F6FC"/>
      </x:patternFill>
    </x:fill>
    <x:fill>
      <x:patternFill patternType="solid">
        <x:fgColor rgb="FF3E1B83"/>
      </x:patternFill>
    </x:fill>
    <x:fill>
      <x:patternFill patternType="solid">
        <x:fgColor rgb="FFEEE7FF"/>
      </x:patternFill>
    </x:fill>
    <x:fill>
      <x:patternFill patternType="solid">
        <x:fgColor rgb="FF5B2DBD"/>
      </x:patternFill>
    </x:fill>
    <x:fill>
      <x:patternFill patternType="solid">
        <x:fgColor rgb="FFF7F4FF"/>
      </x:patternFill>
    </x:fill>
    <x:fill>
      <x:patternFill patternType="solid">
        <x:fgColor rgb="FF3E1B83"/>
      </x:patternFill>
    </x:fill>
    <x:fill>
      <x:patternFill patternType="solid">
        <x:fgColor rgb="FFEEE7FF"/>
      </x:patternFill>
    </x:fill>
    <x:fill>
      <x:patternFill patternType="solid">
        <x:fgColor rgb="FF5B2DBD"/>
      </x:patternFill>
    </x:fill>
    <x:fill>
      <x:patternFill patternType="solid">
        <x:fgColor rgb="FFFFF2CC"/>
      </x:patternFill>
    </x:fill>
    <x:fill>
      <x:patternFill patternType="solid">
        <x:fgColor rgb="FFF7F4FF"/>
      </x:patternFill>
    </x:fill>
    <x:fill>
      <x:patternFill patternType="solid">
        <x:fgColor rgb="FF3E1B83"/>
      </x:patternFill>
    </x:fill>
    <x:fill>
      <x:patternFill patternType="solid">
        <x:fgColor rgb="FFEEE7FF"/>
      </x:patternFill>
    </x:fill>
    <x:fill>
      <x:patternFill patternType="solid">
        <x:fgColor rgb="FF5B2DBD"/>
      </x:patternFill>
    </x:fill>
    <x:fill>
      <x:patternFill patternType="solid">
        <x:fgColor rgb="FFFFF2CC"/>
      </x:patternFill>
    </x:fill>
    <x:fill>
      <x:patternFill patternType="solid">
        <x:fgColor rgb="FFF7F4FF"/>
      </x:patternFill>
    </x:fill>
  </x:fills>
  <x:borders count="2">
    <x:border/>
    <x:border/>
  </x:borders>
  <x:cellStyleXfs count="1">
    <x:xf numFmtId="0" fontId="0" fillId="0" borderId="0"/>
  </x:cellStyleXfs>
  <x:cellXfs count="2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top"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5" fillId="0" borderId="0" xfId="0" applyNumberFormat="1" applyFont="1" applyFill="1" applyBorder="1"/>
    <x:xf numFmtId="0" fontId="5" fillId="0" borderId="1" xfId="0" applyNumberFormat="1" applyFont="1" applyFill="1" applyBorder="1"/>
    <x:xf numFmtId="200" fontId="0" fillId="0" borderId="0" xfId="0" applyNumberFormat="1" applyFont="1" applyFill="1" applyBorder="1"/>
    <x:xf numFmtId="200" fontId="5" fillId="0" borderId="0" xfId="0" applyNumberFormat="1" applyFont="1" applyFill="1" applyBorder="1"/>
    <x:xf numFmtId="200" fontId="0" fillId="0" borderId="1" xfId="0" applyNumberFormat="1" applyFont="1" applyFill="1" applyBorder="1"/>
    <x:xf numFmtId="200" fontId="5" fillId="0" borderId="1" xfId="0" applyNumberFormat="1" applyFont="1" applyFill="1" applyBorder="1"/>
    <x:xf numFmtId="200" fontId="5" fillId="0" borderId="0" xfId="0" applyNumberFormat="1" applyFont="1" applyFill="1" applyBorder="1" applyAlignment="1">
      <x:alignment wrapText="1"/>
    </x:xf>
    <x:xf numFmtId="200" fontId="0" fillId="0" borderId="0" xfId="0" applyNumberFormat="1" applyFont="1" applyFill="1" applyBorder="1" applyAlignment="1">
      <x:alignment wrapText="1"/>
    </x:xf>
    <x:xf numFmtId="200" fontId="5"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201" fontId="5" fillId="0" borderId="0" xfId="0" applyNumberFormat="1" applyFont="1" applyFill="1" applyBorder="1"/>
    <x:xf numFmtId="201" fontId="5" fillId="0" borderId="1" xfId="0" applyNumberFormat="1" applyFont="1" applyFill="1" applyBorder="1"/>
    <x:xf numFmtId="200" fontId="6" fillId="0" borderId="0" xfId="0" applyNumberFormat="1" applyFont="1" applyFill="1" applyBorder="1"/>
    <x:xf numFmtId="200" fontId="6" fillId="0" borderId="1" xfId="0" applyNumberFormat="1" applyFont="1" applyFill="1" applyBorder="1"/>
    <x:xf numFmtId="202" fontId="7" fillId="0" borderId="0" xfId="0" applyNumberFormat="1" applyFont="1" applyFill="1" applyBorder="1"/>
    <x:xf numFmtId="202" fontId="7" fillId="0" borderId="1" xfId="0" applyNumberFormat="1" applyFont="1" applyFill="1" applyBorder="1"/>
    <x:xf numFmtId="203" fontId="7" fillId="0" borderId="0" xfId="0" applyNumberFormat="1" applyFont="1" applyFill="1" applyBorder="1"/>
    <x:xf numFmtId="203" fontId="7" fillId="0" borderId="1" xfId="0" applyNumberFormat="1" applyFont="1" applyFill="1" applyBorder="1"/>
    <x:xf numFmtId="204" fontId="7" fillId="0" borderId="0" xfId="0" applyNumberFormat="1" applyFont="1" applyFill="1" applyBorder="1"/>
    <x:xf numFmtId="204" fontId="7" fillId="0" borderId="1" xfId="0" applyNumberFormat="1" applyFont="1" applyFill="1" applyBorder="1"/>
    <x:xf numFmtId="201" fontId="5" fillId="0" borderId="0" xfId="0" applyNumberFormat="1" applyFont="1" applyFill="1" applyBorder="1" applyAlignment="1">
      <x:alignment wrapText="1"/>
    </x:xf>
    <x:xf numFmtId="200" fontId="6" fillId="0" borderId="0" xfId="0" applyNumberFormat="1" applyFont="1" applyFill="1" applyBorder="1" applyAlignment="1">
      <x:alignment wrapText="1"/>
    </x:xf>
    <x:xf numFmtId="202" fontId="7" fillId="0" borderId="0" xfId="0" applyNumberFormat="1" applyFont="1" applyFill="1" applyBorder="1" applyAlignment="1">
      <x:alignment wrapText="1"/>
    </x:xf>
    <x:xf numFmtId="203" fontId="7" fillId="0" borderId="0" xfId="0" applyNumberFormat="1" applyFont="1" applyFill="1" applyBorder="1" applyAlignment="1">
      <x:alignment wrapText="1"/>
    </x:xf>
    <x:xf numFmtId="204" fontId="7" fillId="0" borderId="0" xfId="0" applyNumberFormat="1" applyFont="1" applyFill="1" applyBorder="1" applyAlignment="1">
      <x:alignment wrapText="1"/>
    </x:xf>
    <x:xf numFmtId="201" fontId="5" fillId="0" borderId="1" xfId="0" applyNumberFormat="1" applyFont="1" applyFill="1" applyBorder="1" applyAlignment="1">
      <x:alignment wrapText="1"/>
    </x:xf>
    <x:xf numFmtId="200" fontId="6" fillId="0" borderId="1" xfId="0" applyNumberFormat="1" applyFont="1" applyFill="1" applyBorder="1" applyAlignment="1">
      <x:alignment wrapText="1"/>
    </x:xf>
    <x:xf numFmtId="202" fontId="7" fillId="0" borderId="1" xfId="0" applyNumberFormat="1" applyFont="1" applyFill="1" applyBorder="1" applyAlignment="1">
      <x:alignment wrapText="1"/>
    </x:xf>
    <x:xf numFmtId="203" fontId="7" fillId="0" borderId="1" xfId="0" applyNumberFormat="1" applyFont="1" applyFill="1" applyBorder="1" applyAlignment="1">
      <x:alignment wrapText="1"/>
    </x:xf>
    <x:xf numFmtId="204" fontId="7" fillId="0" borderId="1" xfId="0" applyNumberFormat="1" applyFont="1" applyFill="1" applyBorder="1" applyAlignment="1">
      <x:alignment wrapText="1"/>
    </x:xf>
    <x:xf numFmtId="205" fontId="6" fillId="0" borderId="0" xfId="0" applyNumberFormat="1" applyFont="1" applyFill="1" applyBorder="1"/>
    <x:xf numFmtId="205" fontId="6" fillId="0" borderId="1" xfId="0" applyNumberFormat="1" applyFont="1" applyFill="1" applyBorder="1"/>
    <x:xf numFmtId="206" fontId="5" fillId="0" borderId="0" xfId="0" applyNumberFormat="1" applyFont="1" applyFill="1" applyBorder="1"/>
    <x:xf numFmtId="206" fontId="5" fillId="0" borderId="1" xfId="0" applyNumberFormat="1" applyFont="1" applyFill="1" applyBorder="1"/>
    <x:xf numFmtId="207" fontId="0" fillId="0" borderId="0" xfId="0" applyNumberFormat="1" applyFont="1" applyFill="1" applyBorder="1"/>
    <x:xf numFmtId="207" fontId="0" fillId="0" borderId="1" xfId="0" applyNumberFormat="1" applyFont="1" applyFill="1" applyBorder="1"/>
    <x:xf numFmtId="208" fontId="0" fillId="0" borderId="0" xfId="0" applyNumberFormat="1" applyFont="1" applyFill="1" applyBorder="1"/>
    <x:xf numFmtId="208" fontId="0" fillId="0" borderId="1" xfId="0" applyNumberFormat="1" applyFont="1" applyFill="1" applyBorder="1"/>
    <x:xf numFmtId="205" fontId="6" fillId="0" borderId="0" xfId="0" applyNumberFormat="1" applyFont="1" applyFill="1" applyBorder="1" applyAlignment="1">
      <x:alignment wrapText="1"/>
    </x:xf>
    <x:xf numFmtId="206" fontId="5" fillId="0" borderId="0" xfId="0" applyNumberFormat="1" applyFont="1" applyFill="1" applyBorder="1" applyAlignment="1">
      <x:alignment wrapText="1"/>
    </x:xf>
    <x:xf numFmtId="207" fontId="0" fillId="0" borderId="0" xfId="0" applyNumberFormat="1" applyFont="1" applyFill="1" applyBorder="1" applyAlignment="1">
      <x:alignment wrapText="1"/>
    </x:xf>
    <x:xf numFmtId="208" fontId="0" fillId="0" borderId="0" xfId="0" applyNumberFormat="1" applyFont="1" applyFill="1" applyBorder="1" applyAlignment="1">
      <x:alignment wrapText="1"/>
    </x:xf>
    <x:xf numFmtId="205" fontId="6" fillId="0" borderId="1" xfId="0" applyNumberFormat="1" applyFont="1" applyFill="1" applyBorder="1" applyAlignment="1">
      <x:alignment wrapText="1"/>
    </x:xf>
    <x:xf numFmtId="206" fontId="5" fillId="0" borderId="1" xfId="0" applyNumberFormat="1" applyFont="1" applyFill="1" applyBorder="1" applyAlignment="1">
      <x:alignment wrapText="1"/>
    </x:xf>
    <x:xf numFmtId="207" fontId="0" fillId="0" borderId="1" xfId="0" applyNumberFormat="1" applyFont="1" applyFill="1" applyBorder="1" applyAlignment="1">
      <x:alignment wrapText="1"/>
    </x:xf>
    <x:xf numFmtId="208" fontId="0" fillId="0" borderId="1" xfId="0" applyNumberFormat="1" applyFont="1" applyFill="1" applyBorder="1" applyAlignment="1">
      <x:alignment wrapText="1"/>
    </x:xf>
    <x:xf numFmtId="209" fontId="5" fillId="0" borderId="0" xfId="0" applyNumberFormat="1" applyFont="1" applyFill="1" applyBorder="1"/>
    <x:xf numFmtId="209" fontId="5" fillId="0" borderId="1" xfId="0" applyNumberFormat="1" applyFont="1" applyFill="1" applyBorder="1"/>
    <x:xf numFmtId="207" fontId="5" fillId="0" borderId="0" xfId="0" applyNumberFormat="1" applyFont="1" applyFill="1" applyBorder="1"/>
    <x:xf numFmtId="207" fontId="5" fillId="0" borderId="1" xfId="0" applyNumberFormat="1" applyFont="1" applyFill="1" applyBorder="1"/>
    <x:xf numFmtId="209" fontId="5" fillId="0" borderId="0" xfId="0" applyNumberFormat="1" applyFont="1" applyFill="1" applyBorder="1" applyAlignment="1">
      <x:alignment wrapText="1"/>
    </x:xf>
    <x:xf numFmtId="207" fontId="5" fillId="0" borderId="0" xfId="0" applyNumberFormat="1" applyFont="1" applyFill="1" applyBorder="1" applyAlignment="1">
      <x:alignment wrapText="1"/>
    </x:xf>
    <x:xf numFmtId="209" fontId="5" fillId="0" borderId="1" xfId="0" applyNumberFormat="1" applyFont="1" applyFill="1" applyBorder="1" applyAlignment="1">
      <x:alignment wrapText="1"/>
    </x:xf>
    <x:xf numFmtId="207" fontId="5" fillId="0" borderId="1" xfId="0" applyNumberFormat="1" applyFont="1" applyFill="1" applyBorder="1" applyAlignment="1">
      <x:alignment wrapText="1"/>
    </x:xf>
    <x:xf numFmtId="210" fontId="5" fillId="0" borderId="0" xfId="0" applyNumberFormat="1" applyFont="1" applyFill="1" applyBorder="1"/>
    <x:xf numFmtId="210" fontId="5" fillId="0" borderId="1" xfId="0" applyNumberFormat="1" applyFont="1" applyFill="1" applyBorder="1"/>
    <x:xf numFmtId="208" fontId="7" fillId="0" borderId="0" xfId="0" applyNumberFormat="1" applyFont="1" applyFill="1" applyBorder="1"/>
    <x:xf numFmtId="208" fontId="7" fillId="0" borderId="1" xfId="0" applyNumberFormat="1" applyFont="1" applyFill="1" applyBorder="1"/>
    <x:xf numFmtId="205" fontId="7" fillId="0" borderId="0" xfId="0" applyNumberFormat="1" applyFont="1" applyFill="1" applyBorder="1"/>
    <x:xf numFmtId="205" fontId="7" fillId="0" borderId="1" xfId="0" applyNumberFormat="1" applyFont="1" applyFill="1" applyBorder="1"/>
    <x:xf numFmtId="211" fontId="7" fillId="0" borderId="0" xfId="0" applyNumberFormat="1" applyFont="1" applyFill="1" applyBorder="1"/>
    <x:xf numFmtId="211" fontId="7" fillId="0" borderId="1" xfId="0" applyNumberFormat="1" applyFont="1" applyFill="1" applyBorder="1"/>
    <x:xf numFmtId="205" fontId="5" fillId="0" borderId="0" xfId="0" applyNumberFormat="1" applyFont="1" applyFill="1" applyBorder="1"/>
    <x:xf numFmtId="205" fontId="5" fillId="0" borderId="1" xfId="0" applyNumberFormat="1" applyFont="1" applyFill="1" applyBorder="1"/>
    <x:xf numFmtId="207" fontId="7" fillId="0" borderId="0" xfId="0" applyNumberFormat="1" applyFont="1" applyFill="1" applyBorder="1"/>
    <x:xf numFmtId="207" fontId="7" fillId="0" borderId="1" xfId="0" applyNumberFormat="1" applyFont="1" applyFill="1" applyBorder="1"/>
    <x:xf numFmtId="210" fontId="5" fillId="0" borderId="0" xfId="0" applyNumberFormat="1" applyFont="1" applyFill="1" applyBorder="1" applyAlignment="1">
      <x:alignment wrapText="1"/>
    </x:xf>
    <x:xf numFmtId="208" fontId="7" fillId="0" borderId="0" xfId="0" applyNumberFormat="1" applyFont="1" applyFill="1" applyBorder="1" applyAlignment="1">
      <x:alignment wrapText="1"/>
    </x:xf>
    <x:xf numFmtId="205" fontId="7" fillId="0" borderId="0" xfId="0" applyNumberFormat="1" applyFont="1" applyFill="1" applyBorder="1" applyAlignment="1">
      <x:alignment wrapText="1"/>
    </x:xf>
    <x:xf numFmtId="211" fontId="7" fillId="0" borderId="0" xfId="0" applyNumberFormat="1" applyFont="1" applyFill="1" applyBorder="1" applyAlignment="1">
      <x:alignment wrapText="1"/>
    </x:xf>
    <x:xf numFmtId="205" fontId="5" fillId="0" borderId="0" xfId="0" applyNumberFormat="1" applyFont="1" applyFill="1" applyBorder="1" applyAlignment="1">
      <x:alignment wrapText="1"/>
    </x:xf>
    <x:xf numFmtId="207" fontId="7" fillId="0" borderId="0" xfId="0" applyNumberFormat="1" applyFont="1" applyFill="1" applyBorder="1" applyAlignment="1">
      <x:alignment wrapText="1"/>
    </x:xf>
    <x:xf numFmtId="210" fontId="5" fillId="0" borderId="1" xfId="0" applyNumberFormat="1" applyFont="1" applyFill="1" applyBorder="1" applyAlignment="1">
      <x:alignment wrapText="1"/>
    </x:xf>
    <x:xf numFmtId="208" fontId="7" fillId="0" borderId="1" xfId="0" applyNumberFormat="1" applyFont="1" applyFill="1" applyBorder="1" applyAlignment="1">
      <x:alignment wrapText="1"/>
    </x:xf>
    <x:xf numFmtId="205" fontId="7" fillId="0" borderId="1" xfId="0" applyNumberFormat="1" applyFont="1" applyFill="1" applyBorder="1" applyAlignment="1">
      <x:alignment wrapText="1"/>
    </x:xf>
    <x:xf numFmtId="211" fontId="7" fillId="0" borderId="1" xfId="0" applyNumberFormat="1" applyFont="1" applyFill="1" applyBorder="1" applyAlignment="1">
      <x:alignment wrapText="1"/>
    </x:xf>
    <x:xf numFmtId="205" fontId="5" fillId="0" borderId="1" xfId="0" applyNumberFormat="1" applyFont="1" applyFill="1" applyBorder="1" applyAlignment="1">
      <x:alignment wrapText="1"/>
    </x:xf>
    <x:xf numFmtId="207" fontId="7" fillId="0" borderId="1" xfId="0" applyNumberFormat="1" applyFont="1" applyFill="1" applyBorder="1" applyAlignment="1">
      <x:alignment wrapText="1"/>
    </x:xf>
    <x:xf numFmtId="0" fontId="8" fillId="3" borderId="0" xfId="0" applyNumberFormat="1" applyFont="1" applyFill="1" applyBorder="1"/>
    <x:xf numFmtId="0" fontId="8" fillId="3" borderId="0" xfId="0" applyNumberFormat="1" applyFont="1" applyFill="1" applyBorder="1" applyAlignment="1">
      <x:alignment horizontal="center"/>
    </x:xf>
    <x:xf numFmtId="0" fontId="8" fillId="3" borderId="0" xfId="0" applyNumberFormat="1" applyFont="1" applyFill="1" applyBorder="1" applyAlignment="1">
      <x:alignment horizontal="center" vertical="center"/>
    </x:xf>
    <x:xf numFmtId="0" fontId="8" fillId="3" borderId="1" xfId="0" applyNumberFormat="1" applyFont="1" applyFill="1" applyBorder="1"/>
    <x:xf numFmtId="0" fontId="8" fillId="3" borderId="1" xfId="0" applyNumberFormat="1" applyFont="1" applyFill="1" applyBorder="1" applyAlignment="1">
      <x:alignment horizontal="center"/>
    </x:xf>
    <x:xf numFmtId="0" fontId="8" fillId="3" borderId="1" xfId="0" applyNumberFormat="1" applyFont="1" applyFill="1" applyBorder="1" applyAlignment="1">
      <x:alignment horizontal="center" vertical="center"/>
    </x:xf>
    <x:xf numFmtId="212" fontId="8" fillId="3" borderId="0" xfId="0" applyNumberFormat="1" applyFont="1" applyFill="1" applyBorder="1" applyAlignment="1">
      <x:alignment horizontal="center" vertical="center"/>
    </x:xf>
    <x:xf numFmtId="212" fontId="8" fillId="3" borderId="1" xfId="0" applyNumberFormat="1" applyFont="1" applyFill="1" applyBorder="1" applyAlignment="1">
      <x:alignment horizontal="center" vertical="center"/>
    </x:xf>
    <x:xf numFmtId="207" fontId="8" fillId="3" borderId="0" xfId="0" applyNumberFormat="1" applyFont="1" applyFill="1" applyBorder="1" applyAlignment="1">
      <x:alignment horizontal="center" vertical="center"/>
    </x:xf>
    <x:xf numFmtId="207" fontId="8" fillId="3" borderId="1" xfId="0" applyNumberFormat="1" applyFont="1" applyFill="1" applyBorder="1" applyAlignment="1">
      <x:alignment horizontal="center" vertical="center"/>
    </x:xf>
    <x:xf numFmtId="213" fontId="8" fillId="3" borderId="0" xfId="0" applyNumberFormat="1" applyFont="1" applyFill="1" applyBorder="1" applyAlignment="1">
      <x:alignment horizontal="center" vertical="center"/>
    </x:xf>
    <x:xf numFmtId="213" fontId="8" fillId="3"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center" wrapText="1"/>
    </x:xf>
    <x:xf numFmtId="0" fontId="9" fillId="4" borderId="1" xfId="0" applyNumberFormat="1" applyFont="1" applyFill="1" applyBorder="1"/>
    <x:xf numFmtId="0" fontId="9" fillId="4" borderId="1" xfId="0" applyNumberFormat="1" applyFont="1" applyFill="1" applyBorder="1" applyAlignment="1">
      <x:alignment wrapText="1"/>
    </x:xf>
    <x:xf numFmtId="0" fontId="9" fillId="4" borderId="1" xfId="0" applyNumberFormat="1" applyFont="1" applyFill="1" applyBorder="1" applyAlignment="1">
      <x:alignment vertical="center" wrapText="1"/>
    </x:xf>
    <x:xf numFmtId="212" fontId="0" fillId="0" borderId="0" xfId="0" applyNumberFormat="1" applyFont="1" applyFill="1" applyBorder="1"/>
    <x:xf numFmtId="212" fontId="0" fillId="0" borderId="1" xfId="0" applyNumberFormat="1" applyFont="1" applyFill="1" applyBorder="1"/>
    <x:xf numFmtId="0" fontId="2" fillId="0" borderId="0" xfId="0" applyNumberFormat="1" applyFont="1" applyFill="1" applyBorder="1" applyAlignment="1">
      <x:alignment horizontal="center" wrapText="1"/>
    </x:xf>
    <x:xf numFmtId="212" fontId="8" fillId="3" borderId="0" xfId="0" applyNumberFormat="1" applyFont="1" applyFill="1" applyBorder="1" applyAlignment="1">
      <x:alignment horizontal="center" vertical="center" wrapText="1"/>
    </x:xf>
    <x:xf numFmtId="0" fontId="8" fillId="3" borderId="0" xfId="0" applyNumberFormat="1" applyFont="1" applyFill="1" applyBorder="1" applyAlignment="1">
      <x:alignment horizontal="center" vertical="center" wrapText="1"/>
    </x:xf>
    <x:xf numFmtId="207" fontId="8" fillId="3" borderId="0" xfId="0" applyNumberFormat="1" applyFont="1" applyFill="1" applyBorder="1" applyAlignment="1">
      <x:alignment horizontal="center" vertical="center" wrapText="1"/>
    </x:xf>
    <x:xf numFmtId="213" fontId="8" fillId="3" borderId="0" xfId="0" applyNumberFormat="1" applyFont="1" applyFill="1" applyBorder="1" applyAlignment="1">
      <x:alignment horizontal="center" vertical="center" wrapText="1"/>
    </x:xf>
    <x:xf numFmtId="212" fontId="0" fillId="0" borderId="0" xfId="0" applyNumberFormat="1" applyFont="1" applyFill="1" applyBorder="1" applyAlignment="1">
      <x:alignment wrapText="1"/>
    </x:xf>
    <x:xf numFmtId="0" fontId="0" fillId="0" borderId="0" xfId="0" applyNumberFormat="1" applyFont="1" applyFill="1" applyBorder="1"/>
    <x:xf numFmtId="0" fontId="1" fillId="5" borderId="0" xfId="0" applyNumberFormat="1" applyFont="1" applyFill="1" applyBorder="1" applyAlignment="1">
      <x:alignment vertical="center" wrapText="1"/>
    </x:xf>
    <x:xf numFmtId="0" fontId="4" fillId="6" borderId="0" xfId="0" applyNumberFormat="1" applyFont="1" applyFill="1" applyBorder="1" applyAlignment="1">
      <x:alignment vertical="top" wrapText="1"/>
    </x:xf>
    <x:xf numFmtId="0" fontId="10" fillId="6" borderId="0"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10"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214" fontId="0" fillId="0" borderId="0" xfId="0" applyNumberFormat="1" applyFont="1" applyFill="1" applyBorder="1"/>
    <x:xf numFmtId="206" fontId="0" fillId="0" borderId="0" xfId="0" applyNumberFormat="1" applyFont="1" applyFill="1" applyBorder="1"/>
    <x:xf numFmtId="0" fontId="0" fillId="8" borderId="0" xfId="0" applyNumberFormat="1" applyFont="1" applyFill="1" applyBorder="1"/>
    <x:xf numFmtId="0" fontId="11" fillId="8" borderId="0" xfId="0" applyNumberFormat="1" applyFont="1" applyFill="1" applyBorder="1"/>
    <x:xf numFmtId="0" fontId="11" fillId="8" borderId="0" xfId="0" applyNumberFormat="1" applyFont="1" applyFill="1" applyBorder="1" applyAlignment="1">
      <x:alignment wrapText="1"/>
    </x:xf>
    <x:xf numFmtId="215" fontId="0" fillId="0" borderId="0" xfId="0" applyNumberFormat="1" applyFont="1" applyFill="1" applyBorder="1"/>
    <x:xf numFmtId="216" fontId="0" fillId="0" borderId="0" xfId="0" applyNumberFormat="1" applyFont="1" applyFill="1" applyBorder="1"/>
    <x:xf numFmtId="217" fontId="0" fillId="0" borderId="0" xfId="0" applyNumberFormat="1" applyFont="1" applyFill="1" applyBorder="1"/>
    <x:xf numFmtId="210" fontId="0" fillId="0" borderId="0" xfId="0" applyNumberFormat="1" applyFont="1" applyFill="1" applyBorder="1"/>
    <x:xf numFmtId="0" fontId="12" fillId="6" borderId="0" xfId="0" applyNumberFormat="1" applyFont="1" applyFill="1" applyBorder="1"/>
    <x:xf numFmtId="0" fontId="12" fillId="6" borderId="0" xfId="0" applyNumberFormat="1" applyFont="1" applyFill="1" applyBorder="1" applyAlignment="1">
      <x:alignment wrapText="1"/>
    </x:xf>
    <x:xf numFmtId="0" fontId="3" fillId="7" borderId="0" xfId="0" applyNumberFormat="1" applyFont="1" applyFill="1" applyBorder="1" applyAlignment="1">
      <x:alignment horizontal="center" vertical="center" wrapText="1"/>
    </x:xf>
    <x:xf numFmtId="0" fontId="0" fillId="7" borderId="0" xfId="0" applyNumberFormat="1" applyFont="1" applyFill="1" applyBorder="1" applyAlignment="1">
      <x:alignment wrapText="1"/>
    </x:xf>
    <x:xf numFmtId="0" fontId="11" fillId="0"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5" fillId="12" borderId="0" xfId="0" applyNumberFormat="1" applyFont="1" applyFill="1" applyBorder="1"/>
    <x:xf numFmtId="210" fontId="6" fillId="0" borderId="0" xfId="0" applyNumberFormat="1" applyFont="1" applyFill="1" applyBorder="1"/>
    <x:xf numFmtId="204" fontId="5" fillId="12" borderId="0" xfId="0" applyNumberFormat="1" applyFont="1" applyFill="1" applyBorder="1"/>
    <x:xf numFmtId="215" fontId="5" fillId="12" borderId="0" xfId="0" applyNumberFormat="1" applyFont="1" applyFill="1" applyBorder="1"/>
    <x:xf numFmtId="218" fontId="5" fillId="12" borderId="0" xfId="0" applyNumberFormat="1" applyFont="1" applyFill="1" applyBorder="1"/>
    <x:xf numFmtId="218" fontId="0" fillId="0" borderId="0" xfId="0" applyNumberFormat="1" applyFont="1" applyFill="1" applyBorder="1"/>
    <x:xf numFmtId="218" fontId="13" fillId="0" borderId="0" xfId="0" applyNumberFormat="1" applyFont="1" applyFill="1" applyBorder="1"/>
    <x:xf numFmtId="207" fontId="13" fillId="0" borderId="0" xfId="0" applyNumberFormat="1" applyFont="1" applyFill="1" applyBorder="1"/>
    <x:xf numFmtId="0" fontId="3" fillId="9" borderId="0" xfId="0" applyNumberFormat="1" applyFont="1" applyFill="1" applyBorder="1"/>
    <x:xf numFmtId="0" fontId="11" fillId="0" borderId="0" xfId="0" applyNumberFormat="1" applyFont="1" applyFill="1" applyBorder="1"/>
    <x:xf numFmtId="0" fontId="3" fillId="11" borderId="0" xfId="0" applyNumberFormat="1" applyFont="1" applyFill="1" applyBorder="1" applyAlignment="1">
      <x:alignment wrapText="1"/>
    </x:xf>
    <x:xf numFmtId="210" fontId="0" fillId="0" borderId="0" xfId="0" applyNumberFormat="1" applyFont="1" applyFill="1" applyBorder="1" applyAlignment="1">
      <x:alignment wrapText="1"/>
    </x:xf>
    <x:xf numFmtId="215" fontId="0" fillId="0" borderId="0" xfId="0" applyNumberFormat="1" applyFont="1" applyFill="1" applyBorder="1" applyAlignment="1">
      <x:alignment wrapText="1"/>
    </x:xf>
    <x:xf numFmtId="0" fontId="0" fillId="13" borderId="0" xfId="0" applyNumberFormat="1" applyFont="1" applyFill="1" applyBorder="1" applyAlignment="1">
      <x:alignment wrapText="1"/>
    </x:xf>
    <x:xf numFmtId="210" fontId="0" fillId="13" borderId="0" xfId="0" applyNumberFormat="1" applyFont="1" applyFill="1" applyBorder="1" applyAlignment="1">
      <x:alignment wrapText="1"/>
    </x:xf>
    <x:xf numFmtId="215" fontId="0" fillId="13" borderId="0" xfId="0" applyNumberFormat="1" applyFont="1" applyFill="1" applyBorder="1" applyAlignment="1">
      <x:alignment wrapText="1"/>
    </x:xf>
    <x:xf numFmtId="0" fontId="11" fillId="13" borderId="0" xfId="0" applyNumberFormat="1" applyFont="1" applyFill="1" applyBorder="1" applyAlignment="1">
      <x:alignment wrapText="1"/>
    </x:xf>
    <x:xf numFmtId="0" fontId="10" fillId="6" borderId="0" xfId="0" applyNumberFormat="1" applyFont="1" applyFill="1" applyBorder="1"/>
    <x:xf numFmtId="0" fontId="3" fillId="5" borderId="0" xfId="0" applyNumberFormat="1" applyFont="1" applyFill="1" applyBorder="1"/>
    <x:xf numFmtId="210" fontId="0" fillId="8" borderId="0" xfId="0" applyNumberFormat="1" applyFont="1" applyFill="1" applyBorder="1" applyAlignment="1">
      <x:alignment wrapText="1"/>
    </x:xf>
    <x:xf numFmtId="215" fontId="0" fillId="8" borderId="0" xfId="0" applyNumberFormat="1" applyFont="1" applyFill="1" applyBorder="1" applyAlignment="1">
      <x:alignment wrapText="1"/>
    </x:xf>
    <x:xf numFmtId="0" fontId="0" fillId="14" borderId="0" xfId="0" applyNumberFormat="1" applyFont="1" applyFill="1" applyBorder="1"/>
    <x:xf numFmtId="0" fontId="1" fillId="14" borderId="0" xfId="0" applyNumberFormat="1" applyFont="1" applyFill="1" applyBorder="1"/>
    <x:xf numFmtId="0" fontId="0" fillId="15" borderId="0" xfId="0" applyNumberFormat="1" applyFont="1" applyFill="1" applyBorder="1"/>
    <x:xf numFmtId="0" fontId="10" fillId="15" borderId="0" xfId="0" applyNumberFormat="1" applyFont="1" applyFill="1" applyBorder="1"/>
    <x:xf numFmtId="0" fontId="10" fillId="15" borderId="0" xfId="0" applyNumberFormat="1" applyFont="1" applyFill="1" applyBorder="1" applyAlignment="1">
      <x:alignment wrapText="1"/>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0" fillId="17" borderId="0" xfId="0" applyNumberFormat="1" applyFont="1" applyFill="1" applyBorder="1"/>
    <x:xf numFmtId="0" fontId="5" fillId="17" borderId="0" xfId="0" applyNumberFormat="1" applyFont="1" applyFill="1" applyBorder="1"/>
    <x:xf numFmtId="204" fontId="5" fillId="17" borderId="0" xfId="0" applyNumberFormat="1" applyFont="1" applyFill="1" applyBorder="1"/>
    <x:xf numFmtId="215" fontId="5" fillId="17" borderId="0" xfId="0" applyNumberFormat="1" applyFont="1" applyFill="1" applyBorder="1"/>
    <x:xf numFmtId="218" fontId="5" fillId="17" borderId="0" xfId="0" applyNumberFormat="1" applyFont="1" applyFill="1" applyBorder="1"/>
    <x:xf numFmtId="0" fontId="3" fillId="14" borderId="0" xfId="0" applyNumberFormat="1" applyFont="1" applyFill="1" applyBorder="1"/>
    <x:xf numFmtId="0" fontId="0" fillId="18" borderId="0" xfId="0" applyNumberFormat="1" applyFont="1" applyFill="1" applyBorder="1"/>
    <x:xf numFmtId="0" fontId="0" fillId="18" borderId="0" xfId="0" applyNumberFormat="1" applyFont="1" applyFill="1" applyBorder="1" applyAlignment="1">
      <x:alignment wrapText="1"/>
    </x:xf>
    <x:xf numFmtId="215" fontId="3" fillId="16" borderId="0" xfId="0" applyNumberFormat="1" applyFont="1" applyFill="1" applyBorder="1"/>
    <x:xf numFmtId="0" fontId="0" fillId="15" borderId="0" xfId="0" applyNumberFormat="1" applyFont="1" applyFill="1" applyBorder="1" applyAlignment="1">
      <x:alignment wrapText="1"/>
    </x:xf>
    <x:xf numFmtId="0" fontId="0" fillId="16" borderId="0" xfId="0" applyNumberFormat="1" applyFont="1" applyFill="1" applyBorder="1" applyAlignment="1">
      <x:alignment wrapText="1"/>
    </x:xf>
    <x:xf numFmtId="210" fontId="0" fillId="18" borderId="0" xfId="0" applyNumberFormat="1" applyFont="1" applyFill="1" applyBorder="1" applyAlignment="1">
      <x:alignment wrapText="1"/>
    </x:xf>
    <x:xf numFmtId="207" fontId="0" fillId="18" borderId="0" xfId="0" applyNumberFormat="1" applyFont="1" applyFill="1" applyBorder="1" applyAlignment="1">
      <x:alignment wrapText="1"/>
    </x:xf>
    <x:xf numFmtId="0" fontId="11" fillId="1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0449cb0eec473b" /><Relationship Type="http://schemas.openxmlformats.org/officeDocument/2006/relationships/theme" Target="/xl/theme/theme1.xml" Id="R1681f5cf4c6e4753" /><Relationship Type="http://schemas.openxmlformats.org/officeDocument/2006/relationships/sharedStrings" Target="/xl/sharedStrings.xml" Id="R5043836a42fd40cc" /><Relationship Type="http://schemas.openxmlformats.org/officeDocument/2006/relationships/worksheet" Target="/xl/worksheets/sheet1.xml" Id="Rd2d399818bba4f4e" /><Relationship Type="http://schemas.openxmlformats.org/officeDocument/2006/relationships/worksheet" Target="/xl/worksheets/sheet2.xml" Id="R77e9e3948fd247df" /><Relationship Type="http://schemas.openxmlformats.org/officeDocument/2006/relationships/worksheet" Target="/xl/worksheets/sheet3.xml" Id="R82d37e28d2944de0" /><Relationship Type="http://schemas.openxmlformats.org/officeDocument/2006/relationships/worksheet" Target="/xl/worksheets/sheet4.xml" Id="Rbd24af6c3010489f" /><Relationship Type="http://schemas.openxmlformats.org/officeDocument/2006/relationships/worksheet" Target="/xl/worksheets/sheet5.xml" Id="R80d0cf402e364b59" /><Relationship Type="http://schemas.openxmlformats.org/officeDocument/2006/relationships/worksheet" Target="/xl/worksheets/sheet6.xml" Id="Rd56e5e421d4144b4" /><Relationship Type="http://schemas.openxmlformats.org/officeDocument/2006/relationships/worksheet" Target="/xl/worksheets/sheet7.xml" Id="Rf930f423b3eb458e" /><Relationship Type="http://schemas.openxmlformats.org/officeDocument/2006/relationships/worksheet" Target="/xl/worksheets/sheet8.xml" Id="R28f81c0b3d2c426d" /><Relationship Type="http://schemas.openxmlformats.org/officeDocument/2006/relationships/worksheet" Target="/xl/worksheets/sheet9.xml" Id="R81e3d8df40c94b02" /><Relationship Type="http://schemas.openxmlformats.org/officeDocument/2006/relationships/worksheet" Target="/xl/worksheets/sheet10.xml" Id="Re19c582712d04c2e" /><Relationship Type="http://schemas.openxmlformats.org/officeDocument/2006/relationships/worksheet" Target="/xl/worksheets/sheet11.xml" Id="R5e70ea8713994953" /><Relationship Type="http://schemas.openxmlformats.org/officeDocument/2006/relationships/worksheet" Target="/xl/worksheets/sheet12.xml" Id="R7222876e7b6844af" /><Relationship Type="http://schemas.openxmlformats.org/officeDocument/2006/relationships/worksheet" Target="/xl/worksheets/sheet13.xml" Id="R8e966376166746f4" /></Relationships>
</file>

<file path=xl/drawings/_rels/drawing1.xml.rels>&#65279;<?xml version="1.0" encoding="utf-8"?><Relationships xmlns="http://schemas.openxmlformats.org/package/2006/relationships"><Relationship Type="http://schemas.openxmlformats.org/officeDocument/2006/relationships/chart" Target="/xl/drawings/charts/chart1.xml" Id="R34c0beeb46624da2" /><Relationship Type="http://schemas.openxmlformats.org/officeDocument/2006/relationships/chart" Target="/xl/drawings/charts/chart2.xml" Id="R57e348c3a3564ce6" /></Relationships>
</file>

<file path=xl/drawings/_rels/drawing2.xml.rels>&#65279;<?xml version="1.0" encoding="utf-8"?><Relationships xmlns="http://schemas.openxmlformats.org/package/2006/relationships"><Relationship Type="http://schemas.openxmlformats.org/officeDocument/2006/relationships/chart" Target="/xl/drawings/charts/chart3.xml" Id="R29bdcb1dedc54efb" /><Relationship Type="http://schemas.openxmlformats.org/officeDocument/2006/relationships/chart" Target="/xl/drawings/charts/chart4.xml" Id="Rd13f90c5aa64400e" /></Relationships>
</file>

<file path=xl/drawings/_rels/drawing3.xml.rels>&#65279;<?xml version="1.0" encoding="utf-8"?><Relationships xmlns="http://schemas.openxmlformats.org/package/2006/relationships"><Relationship Type="http://schemas.openxmlformats.org/officeDocument/2006/relationships/chart" Target="/xl/drawings/charts/chart5.xml" Id="Ra97d353917f1432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Apple Listed Price — USD Equivalent</a:t>
            </a:r>
          </a:p>
        </c:rich>
      </c:tx>
    </c:title>
    <c:plotArea>
      <c:barChart>
        <c:barDir val="col"/>
        <c:varyColors val="0"/>
        <c:ser>
          <c:idx val="0"/>
          <c:order val="0"/>
          <c:tx>
            <c:v>iPhone 17 256GB (USD)</c:v>
          </c:tx>
          <c:cat>
            <c:strRef>
              <c:f>'Executive_Summary'!$A$18:$A$30</c:f>
              <c:strCache>
                <c:ptCount val="0"/>
              </c:strCache>
            </c:strRef>
          </c:cat>
          <c:val>
            <c:numRef>
              <c:f>'Executive_Summary'!$B$18:$B$30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Affordability Burden Proxy</a:t>
            </a:r>
          </a:p>
        </c:rich>
      </c:tx>
    </c:title>
    <c:plotArea>
      <c:barChart>
        <c:barDir val="col"/>
        <c:varyColors val="0"/>
        <c:ser>
          <c:idx val="0"/>
          <c:order val="0"/>
          <c:tx>
            <c:v>PPP burden proxy</c:v>
          </c:tx>
          <c:cat>
            <c:strRef>
              <c:f>'Executive_Summary'!$D$18:$D$30</c:f>
              <c:strCache>
                <c:ptCount val="0"/>
              </c:strCache>
            </c:strRef>
          </c:cat>
          <c:val>
            <c:numRef>
              <c:f>'Executive_Summary'!$E$18:$E$30</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India iPhone Production Value ($B)</a:t>
            </a:r>
          </a:p>
        </c:rich>
      </c:tx>
    </c:title>
    <c:plotArea>
      <c:barChart>
        <c:barDir val="col"/>
        <c:grouping val="clustered"/>
        <c:varyColors val="0"/>
        <c:ser>
          <c:idx val="0"/>
          <c:order val="0"/>
          <c:tx>
            <c:v>India iPhone Production ($B)</c:v>
          </c:tx>
          <c:cat>
            <c:strRef>
              <c:f>'India_Timeline'!$A$4:$A$7</c:f>
              <c:strCache>
                <c:ptCount val="0"/>
              </c:strCache>
            </c:strRef>
          </c:cat>
          <c:val>
            <c:numRef>
              <c:f>'India_Timeline'!$B$4:$B$7</c:f>
              <c:numCache>
                <c:formatCode>$0.0"B"</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India Base-Model Price Timeline (₹)</a:t>
            </a:r>
          </a:p>
        </c:rich>
      </c:tx>
    </c:title>
    <c:plotArea>
      <c:lineChart>
        <c:grouping val="standard"/>
        <c:varyColors val="0"/>
        <c:ser>
          <c:idx val="0"/>
          <c:order val="0"/>
          <c:tx>
            <c:v>Model</c:v>
          </c:tx>
          <c:marker>
            <c:symbol val="none"/>
          </c:marker>
          <c:cat>
            <c:strRef>
              <c:f>'India_Timeline'!$A$11:$A$16</c:f>
              <c:strCache>
                <c:ptCount val="0"/>
              </c:strCache>
            </c:strRef>
          </c:cat>
          <c:val>
            <c:numRef>
              <c:f>'India_Timeline'!$B$11:$B$16</c:f>
              <c:numCache>
                <c:formatCode>General</c:formatCode>
                <c:ptCount val="0"/>
              </c:numCache>
            </c:numRef>
          </c:val>
        </c:ser>
        <c:ser>
          <c:idx val="1"/>
          <c:order val="1"/>
          <c:tx>
            <c:v>Base Storage</c:v>
          </c:tx>
          <c:marker>
            <c:symbol val="none"/>
          </c:marker>
          <c:cat>
            <c:strRef>
              <c:f>'India_Timeline'!$A$11:$A$16</c:f>
              <c:strCache>
                <c:ptCount val="0"/>
              </c:strCache>
            </c:strRef>
          </c:cat>
          <c:val>
            <c:numRef>
              <c:f>'India_Timeline'!$C$11:$C$16</c:f>
              <c:numCache>
                <c:formatCode>General</c:formatCode>
                <c:ptCount val="0"/>
              </c:numCache>
            </c:numRef>
          </c:val>
        </c:ser>
        <c:ser>
          <c:idx val="2"/>
          <c:order val="2"/>
          <c:tx>
            <c:v>India Launch / Current Price (₹)</c:v>
          </c:tx>
          <c:marker>
            <c:symbol val="none"/>
          </c:marker>
          <c:cat>
            <c:strRef>
              <c:f>'India_Timeline'!$A$11:$A$16</c:f>
              <c:strCache>
                <c:ptCount val="0"/>
              </c:strCache>
            </c:strRef>
          </c:cat>
          <c:val>
            <c:numRef>
              <c:f>'India_Timeline'!$D$11:$D$16</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Annualized Ownership Cost by Scenario</a:t>
            </a:r>
          </a:p>
        </c:rich>
      </c:tx>
    </c:title>
    <c:plotArea>
      <c:barChart>
        <c:barDir val="col"/>
        <c:grouping val="clustered"/>
        <c:varyColors val="0"/>
        <c:ser>
          <c:idx val="0"/>
          <c:order val="0"/>
          <c:tx>
            <c:v>Years</c:v>
          </c:tx>
          <c:cat>
            <c:strRef>
              <c:f>'TCO_Model'!$A$18:$A$22</c:f>
              <c:strCache>
                <c:ptCount val="0"/>
              </c:strCache>
            </c:strRef>
          </c:cat>
          <c:val>
            <c:numRef>
              <c:f>'TCO_Model'!$B$18:$B$22</c:f>
              <c:numCache>
                <c:formatCode>General</c:formatCode>
                <c:ptCount val="0"/>
              </c:numCache>
            </c:numRef>
          </c:val>
        </c:ser>
        <c:ser>
          <c:idx val="1"/>
          <c:order val="1"/>
          <c:tx>
            <c:v>Resale %</c:v>
          </c:tx>
          <c:cat>
            <c:strRef>
              <c:f>'TCO_Model'!$A$18:$A$22</c:f>
              <c:strCache>
                <c:ptCount val="0"/>
              </c:strCache>
            </c:strRef>
          </c:cat>
          <c:val>
            <c:numRef>
              <c:f>'TCO_Model'!$C$18:$C$22</c:f>
              <c:numCache>
                <c:formatCode>0%</c:formatCode>
                <c:ptCount val="0"/>
              </c:numCache>
            </c:numRef>
          </c:val>
        </c:ser>
        <c:ser>
          <c:idx val="2"/>
          <c:order val="2"/>
          <c:tx>
            <c:v>Financing %</c:v>
          </c:tx>
          <c:cat>
            <c:strRef>
              <c:f>'TCO_Model'!$A$18:$A$22</c:f>
              <c:strCache>
                <c:ptCount val="0"/>
              </c:strCache>
            </c:strRef>
          </c:cat>
          <c:val>
            <c:numRef>
              <c:f>'TCO_Model'!$D$18:$D$22</c:f>
              <c:numCache>
                <c:formatCode>0%</c:formatCode>
                <c:ptCount val="0"/>
              </c:numCache>
            </c:numRef>
          </c:val>
        </c:ser>
        <c:ser>
          <c:idx val="3"/>
          <c:order val="3"/>
          <c:tx>
            <c:v>Repair / Coverage</c:v>
          </c:tx>
          <c:cat>
            <c:strRef>
              <c:f>'TCO_Model'!$A$18:$A$22</c:f>
              <c:strCache>
                <c:ptCount val="0"/>
              </c:strCache>
            </c:strRef>
          </c:cat>
          <c:val>
            <c:numRef>
              <c:f>'TCO_Model'!$E$18:$E$22</c:f>
              <c:numCache>
                <c:formatCode>₹#,##0;[Red](₹#,##0);-</c:formatCode>
                <c:ptCount val="0"/>
              </c:numCache>
            </c:numRef>
          </c:val>
        </c:ser>
        <c:ser>
          <c:idx val="4"/>
          <c:order val="4"/>
          <c:tx>
            <c:v>Net Cost</c:v>
          </c:tx>
          <c:cat>
            <c:strRef>
              <c:f>'TCO_Model'!$A$18:$A$22</c:f>
              <c:strCache>
                <c:ptCount val="0"/>
              </c:strCache>
            </c:strRef>
          </c:cat>
          <c:val>
            <c:numRef>
              <c:f>'TCO_Model'!$F$18:$F$22</c:f>
              <c:numCache>
                <c:formatCode>₹#,##0;[Red](₹#,##0);-</c:formatCode>
                <c:ptCount val="0"/>
              </c:numCache>
            </c:numRef>
          </c:val>
        </c:ser>
        <c:ser>
          <c:idx val="5"/>
          <c:order val="5"/>
          <c:tx>
            <c:v>Annual Cost</c:v>
          </c:tx>
          <c:cat>
            <c:strRef>
              <c:f>'TCO_Model'!$A$18:$A$22</c:f>
              <c:strCache>
                <c:ptCount val="0"/>
              </c:strCache>
            </c:strRef>
          </c:cat>
          <c:val>
            <c:numRef>
              <c:f>'TCO_Model'!$G$18:$G$22</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16</xdr:row>
      <xdr:rowOff>0</xdr:rowOff>
    </xdr:from>
    <xdr:to>
      <xdr:col>12</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4c0beeb46624da2"/>
        </a:graphicData>
      </a:graphic>
    </xdr:graphicFrame>
    <xdr:clientData/>
  </xdr:twoCellAnchor>
  <xdr:twoCellAnchor>
    <xdr:from>
      <xdr:col>6</xdr:col>
      <xdr:colOff>0</xdr:colOff>
      <xdr:row>33</xdr:row>
      <xdr:rowOff>0</xdr:rowOff>
    </xdr:from>
    <xdr:to>
      <xdr:col>12</xdr:col>
      <xdr:colOff>0</xdr:colOff>
      <xdr:row>49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7e348c3a3564ce6"/>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2</xdr:row>
      <xdr:rowOff>0</xdr:rowOff>
    </xdr:from>
    <xdr:to>
      <xdr:col>14</xdr:col>
      <xdr:colOff>0</xdr:colOff>
      <xdr:row>14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bdcb1dedc54efb"/>
        </a:graphicData>
      </a:graphic>
    </xdr:graphicFrame>
    <xdr:clientData/>
  </xdr:twoCellAnchor>
  <xdr:twoCellAnchor>
    <xdr:from>
      <xdr:col>7</xdr:col>
      <xdr:colOff>0</xdr:colOff>
      <xdr:row>15</xdr:row>
      <xdr:rowOff>0</xdr:rowOff>
    </xdr:from>
    <xdr:to>
      <xdr:col>14</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3f90c5aa64400e"/>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4</xdr:row>
      <xdr:rowOff>0</xdr:rowOff>
    </xdr:from>
    <xdr:to>
      <xdr:col>16</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97d353917f1432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drawing" Target="/xl/drawings/drawing1.xml" Id="R88bef624d28641ab" /></Relationships>
</file>

<file path=xl/worksheets/_rels/sheet11.xml.rels>&#65279;<?xml version="1.0" encoding="utf-8"?><Relationships xmlns="http://schemas.openxmlformats.org/package/2006/relationships"><Relationship Type="http://schemas.openxmlformats.org/officeDocument/2006/relationships/drawing" Target="/xl/drawings/drawing2.xml" Id="R6f74f5e6ef724c21" /></Relationships>
</file>

<file path=xl/worksheets/_rels/sheet12.xml.rels>&#65279;<?xml version="1.0" encoding="utf-8"?><Relationships xmlns="http://schemas.openxmlformats.org/package/2006/relationships"><Relationship Type="http://schemas.openxmlformats.org/officeDocument/2006/relationships/drawing" Target="/xl/drawings/drawing3.xml" Id="R7a64846d02094add" /></Relationships>
</file>

<file path=xl/worksheets/sheet1.xml><?xml version="1.0" encoding="utf-8"?>
<x:worksheet xmlns:x="http://schemas.openxmlformats.org/spreadsheetml/2006/main">
  <x:sheetFormatPr defaultRowHeight="15"/>
  <x:cols>
    <x:col min="1" max="1" width="20" hidden="0" customWidth="1"/>
    <x:col min="2" max="2" width="70"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 t="str">
        <x:v>Made in India. Priced for India? — Research Workbook</x:v>
      </x:c>
      <x:c r="B1" s="34"/>
      <x:c r="C1" s="34"/>
      <x:c r="D1" s="34"/>
      <x:c r="E1" s="34"/>
      <x:c r="F1" s="34"/>
      <x:c r="G1" s="34"/>
      <x:c r="H1" s="34"/>
    </x:row>
    <x:row r="2">
      <x:c r="A2" s="34"/>
      <x:c r="B2" s="34"/>
      <x:c r="C2" s="34"/>
      <x:c r="D2" s="34"/>
      <x:c r="E2" s="34"/>
      <x:c r="F2" s="34"/>
      <x:c r="G2" s="34"/>
      <x:c r="H2" s="34"/>
    </x:row>
    <x:row r="3">
      <x:c r="A3" s="16"/>
      <x:c r="B3" s="16"/>
      <x:c r="C3" s="16"/>
      <x:c r="D3" s="16"/>
      <x:c r="E3" s="16"/>
      <x:c r="F3" s="16"/>
      <x:c r="G3" s="16"/>
      <x:c r="H3" s="16"/>
    </x:row>
    <x:row r="4">
      <x:c r="A4" s="11" t="str">
        <x:v>Project question</x:v>
      </x:c>
      <x:c r="B4" s="16" t="str">
        <x:v>Why can Indian consumers pay materially more for an iPhone even as India becomes a major iPhone manufacturing/export hub?</x:v>
      </x:c>
      <x:c r="C4" s="16"/>
      <x:c r="D4" s="16"/>
      <x:c r="E4" s="16"/>
      <x:c r="F4" s="16"/>
      <x:c r="G4" s="16"/>
      <x:c r="H4" s="16"/>
    </x:row>
    <x:row r="5">
      <x:c r="A5" s="11" t="str">
        <x:v>Primary benchmark</x:v>
      </x:c>
      <x:c r="B5" s="16" t="str">
        <x:v>Apple iPhone 17, 256GB, current Apple Store listed price</x:v>
      </x:c>
      <x:c r="C5" s="16"/>
      <x:c r="D5" s="16"/>
      <x:c r="E5" s="16"/>
      <x:c r="F5" s="16"/>
      <x:c r="G5" s="16"/>
      <x:c r="H5" s="16"/>
    </x:row>
    <x:row r="6">
      <x:c r="A6" s="11" t="str">
        <x:v>Snapshot date</x:v>
      </x:c>
      <x:c r="B6" s="16" t="str">
        <x:v>2026-09-11</x:v>
      </x:c>
      <x:c r="C6" s="16"/>
      <x:c r="D6" s="16"/>
      <x:c r="E6" s="16"/>
      <x:c r="F6" s="16"/>
      <x:c r="G6" s="16"/>
      <x:c r="H6" s="16"/>
    </x:row>
    <x:row r="7">
      <x:c r="A7" s="11" t="str">
        <x:v>Price normalization</x:v>
      </x:c>
      <x:c r="B7" s="16" t="str">
        <x:v>Local Apple Store listed prices converted to USD using 2026-09-10 ECB reference rates; UAE uses official USD/AED peg.</x:v>
      </x:c>
      <x:c r="C7" s="16"/>
      <x:c r="D7" s="16"/>
      <x:c r="E7" s="16"/>
      <x:c r="F7" s="16"/>
      <x:c r="G7" s="16"/>
      <x:c r="H7" s="16"/>
    </x:row>
    <x:row r="8">
      <x:c r="A8" s="11" t="str">
        <x:v>Tax caveat</x:v>
      </x:c>
      <x:c r="B8" s="16" t="str">
        <x:v>This first-pass cross-country price comparison is NOT fully tax-normalized. India is explicitly GST-inclusive; US Apple price is before state/local sales tax.</x:v>
      </x:c>
      <x:c r="C8" s="16"/>
      <x:c r="D8" s="16"/>
      <x:c r="E8" s="16"/>
      <x:c r="F8" s="16"/>
      <x:c r="G8" s="16"/>
      <x:c r="H8" s="16"/>
    </x:row>
    <x:row r="9">
      <x:c r="A9" s="11" t="str">
        <x:v>Affordability proxy</x:v>
      </x:c>
      <x:c r="B9" s="16" t="str">
        <x:v>iPhone USD price ÷ 2025 GDP per capita (PPP). This is a macro affordability proxy, NOT personal income or household disposable income.</x:v>
      </x:c>
      <x:c r="C9" s="16"/>
      <x:c r="D9" s="16"/>
      <x:c r="E9" s="16"/>
      <x:c r="F9" s="16"/>
      <x:c r="G9" s="16"/>
      <x:c r="H9" s="16"/>
    </x:row>
    <x:row r="10">
      <x:c r="A10" s="11" t="str">
        <x:v>Evidence labels</x:v>
      </x:c>
      <x:c r="B10" s="16" t="str">
        <x:v>REPORTED = source disclosure; CALCULATED = workbook formula; ESTIMATED = credible external estimate; MODELED = scenario assumption.</x:v>
      </x:c>
      <x:c r="C10" s="16"/>
      <x:c r="D10" s="16"/>
      <x:c r="E10" s="16"/>
      <x:c r="F10" s="16"/>
      <x:c r="G10" s="16"/>
      <x:c r="H10" s="16"/>
    </x:row>
    <x:row r="11">
      <x:c r="A11" s="16"/>
      <x:c r="B11" s="16"/>
      <x:c r="C11" s="16"/>
      <x:c r="D11" s="16"/>
      <x:c r="E11" s="16"/>
      <x:c r="F11" s="16"/>
      <x:c r="G11" s="16"/>
      <x:c r="H11" s="16"/>
    </x:row>
    <x:row r="12">
      <x:c r="A12" s="21" t="str">
        <x:v>Analytical guardrails</x:v>
      </x:c>
      <x:c r="B12" s="21" t="str"/>
      <x:c r="C12" s="21" t="str"/>
      <x:c r="D12" s="21" t="str"/>
      <x:c r="E12" s="21" t="str"/>
      <x:c r="F12" s="21" t="str"/>
      <x:c r="G12" s="21" t="str"/>
      <x:c r="H12" s="21" t="str"/>
    </x:row>
    <x:row r="13">
      <x:c r="A13" s="16" t="str">
        <x:v>1</x:v>
      </x:c>
      <x:c r="B13" s="29" t="str">
        <x:v>Do not claim India has the world's second-highest iPhone price from this dataset.</x:v>
      </x:c>
      <x:c r="C13" s="29" t="str"/>
      <x:c r="D13" s="29" t="str"/>
      <x:c r="E13" s="29" t="str"/>
      <x:c r="F13" s="29" t="str"/>
      <x:c r="G13" s="29" t="str"/>
      <x:c r="H13" s="29" t="str"/>
    </x:row>
    <x:row r="14">
      <x:c r="A14" s="16" t="str">
        <x:v>2</x:v>
      </x:c>
      <x:c r="B14" s="29" t="str">
        <x:v>Do not treat 'Made in India' as equivalent to full bill-of-materials localization.</x:v>
      </x:c>
      <x:c r="C14" s="29" t="str"/>
      <x:c r="D14" s="29" t="str"/>
      <x:c r="E14" s="29" t="str"/>
      <x:c r="F14" s="29" t="str"/>
      <x:c r="G14" s="29" t="str"/>
      <x:c r="H14" s="29" t="str"/>
    </x:row>
    <x:row r="15">
      <x:c r="A15" s="16" t="str">
        <x:v>3</x:v>
      </x:c>
      <x:c r="B15" s="29" t="str">
        <x:v>Do not label the retail-price remainder as Apple margin; public data cannot establish that.</x:v>
      </x:c>
      <x:c r="C15" s="29" t="str"/>
      <x:c r="D15" s="29" t="str"/>
      <x:c r="E15" s="29" t="str"/>
      <x:c r="F15" s="29" t="str"/>
      <x:c r="G15" s="29" t="str"/>
      <x:c r="H15" s="29" t="str"/>
    </x:row>
    <x:row r="16">
      <x:c r="A16" s="16" t="str">
        <x:v>4</x:v>
      </x:c>
      <x:c r="B16" s="29" t="str">
        <x:v>Prices changed sharply around Apple's Sep-2026 launch, so use snapshot dates in every visual.</x:v>
      </x:c>
      <x:c r="C16" s="29" t="str"/>
      <x:c r="D16" s="29" t="str"/>
      <x:c r="E16" s="29" t="str"/>
      <x:c r="F16" s="29" t="str"/>
      <x:c r="G16" s="29" t="str"/>
      <x:c r="H16" s="29" t="str"/>
    </x:row>
    <x:row r="17">
      <x:c r="A17" s="16"/>
      <x:c r="B17" s="16"/>
      <x:c r="C17" s="16"/>
      <x:c r="D17" s="16"/>
      <x:c r="E17" s="16"/>
      <x:c r="F17" s="16"/>
      <x:c r="G17" s="16"/>
      <x:c r="H17" s="16"/>
    </x:row>
    <x:row r="18">
      <x:c r="A18" s="16"/>
      <x:c r="B18" s="16"/>
      <x:c r="C18" s="16"/>
      <x:c r="D18" s="16"/>
      <x:c r="E18" s="16"/>
      <x:c r="F18" s="16"/>
      <x:c r="G18" s="16"/>
      <x:c r="H18" s="16"/>
    </x:row>
    <x:row r="19">
      <x:c r="A19" s="16"/>
      <x:c r="B19" s="16"/>
      <x:c r="C19" s="16"/>
      <x:c r="D19" s="16"/>
      <x:c r="E19" s="16"/>
      <x:c r="F19" s="16"/>
      <x:c r="G19" s="16"/>
      <x:c r="H19" s="16"/>
    </x:row>
    <x:row r="20">
      <x:c r="A20" s="16"/>
      <x:c r="B20" s="16"/>
      <x:c r="C20" s="16"/>
      <x:c r="D20" s="16"/>
      <x:c r="E20" s="16"/>
      <x:c r="F20" s="16"/>
      <x:c r="G20" s="16"/>
      <x:c r="H20" s="16"/>
    </x:row>
  </x:sheetData>
  <x:mergeCells>
    <x:mergeCell ref="A1:H2"/>
    <x:mergeCell ref="B13:H13"/>
    <x:mergeCell ref="B14:H14"/>
    <x:mergeCell ref="B15:H15"/>
    <x:mergeCell ref="B16:H16"/>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2" hidden="0" customWidth="1"/>
    <x:col min="3" max="3" width="16" hidden="0" customWidth="1"/>
    <x:col min="4" max="4" width="16" hidden="0" customWidth="1"/>
    <x:col min="5" max="5" width="22" hidden="0" customWidth="1"/>
    <x:col min="6" max="6" width="62" hidden="0" customWidth="1"/>
    <x:col min="7" max="7" width="16" hidden="0" customWidth="1"/>
  </x:cols>
  <x:sheetData>
    <x:row r="1">
      <x:c r="A1" s="34" t="str">
        <x:v>FX Inputs — 10 Sep 2026</x:v>
      </x:c>
      <x:c r="B1" s="34"/>
      <x:c r="C1" s="34"/>
      <x:c r="D1" s="34"/>
      <x:c r="E1" s="34"/>
      <x:c r="F1" s="34"/>
      <x:c r="G1" s="34"/>
    </x:row>
    <x:row r="2">
      <x:c r="A2" s="34"/>
      <x:c r="B2" s="34"/>
      <x:c r="C2" s="34"/>
      <x:c r="D2" s="34"/>
      <x:c r="E2" s="34"/>
      <x:c r="F2" s="34"/>
      <x:c r="G2" s="34"/>
    </x:row>
    <x:row r="3">
      <x:c r="A3" s="16"/>
      <x:c r="B3" s="16"/>
      <x:c r="C3" s="16"/>
      <x:c r="D3" s="16"/>
      <x:c r="E3" s="16"/>
      <x:c r="F3" s="16"/>
      <x:c r="G3" s="16"/>
    </x:row>
    <x:row r="4">
      <x:c r="A4" s="21" t="str">
        <x:v>Country</x:v>
      </x:c>
      <x:c r="B4" s="21" t="str">
        <x:v>Currency</x:v>
      </x:c>
      <x:c r="C4" s="21" t="str">
        <x:v>Local per EUR</x:v>
      </x:c>
      <x:c r="D4" s="21" t="str">
        <x:v>Local per USD</x:v>
      </x:c>
      <x:c r="E4" s="21" t="str">
        <x:v>Evidence</x:v>
      </x:c>
      <x:c r="F4" s="21" t="str">
        <x:v>Source URL</x:v>
      </x:c>
      <x:c r="G4" s="21" t="str">
        <x:v>As of</x:v>
      </x:c>
    </x:row>
    <x:row r="5">
      <x:c r="A5" s="16" t="str">
        <x:v>United States</x:v>
      </x:c>
      <x:c r="B5" s="16" t="str">
        <x:v>USD</x:v>
      </x:c>
      <x:c r="C5" s="42" t="n">
        <x:v>1.1616</x:v>
      </x:c>
      <x:c r="D5" s="43" t="n">
        <x:f>C5/$C$5</x:f>
        <x:v>1</x:v>
      </x:c>
      <x:c r="E5" s="16" t="str">
        <x:v>REPORTED/CALCULATED</x:v>
      </x:c>
      <x:c r="F5" s="16" t="str">
        <x:v>https://www.ecb.europa.eu/stats/policy_and_exchange_rates/euro_reference_exchange_rates/html/index.en.html</x:v>
      </x:c>
      <x:c r="G5" s="16" t="str">
        <x:v>2026-09-10</x:v>
      </x:c>
    </x:row>
    <x:row r="6">
      <x:c r="A6" s="16" t="str">
        <x:v>India</x:v>
      </x:c>
      <x:c r="B6" s="16" t="str">
        <x:v>INR</x:v>
      </x:c>
      <x:c r="C6" s="42" t="n">
        <x:v>110.8645</x:v>
      </x:c>
      <x:c r="D6" s="43" t="n">
        <x:f>C6/$C$5</x:f>
        <x:v>95.44120179063361</x:v>
      </x:c>
      <x:c r="E6" s="16" t="str">
        <x:v>REPORTED/CALCULATED</x:v>
      </x:c>
      <x:c r="F6" s="16" t="str">
        <x:v>https://www.ecb.europa.eu/stats/policy_and_exchange_rates/euro_reference_exchange_rates/html/index.en.html</x:v>
      </x:c>
      <x:c r="G6" s="16" t="str">
        <x:v>2026-09-10</x:v>
      </x:c>
    </x:row>
    <x:row r="7">
      <x:c r="A7" s="16" t="str">
        <x:v>China</x:v>
      </x:c>
      <x:c r="B7" s="16" t="str">
        <x:v>CNY</x:v>
      </x:c>
      <x:c r="C7" s="42" t="n">
        <x:v>7.79</x:v>
      </x:c>
      <x:c r="D7" s="43" t="n">
        <x:f>C7/$C$5</x:f>
        <x:v>6.706267217630854</x:v>
      </x:c>
      <x:c r="E7" s="16" t="str">
        <x:v>REPORTED/CALCULATED</x:v>
      </x:c>
      <x:c r="F7" s="16" t="str">
        <x:v>https://www.ecb.europa.eu/stats/policy_and_exchange_rates/euro_reference_exchange_rates/html/index.en.html</x:v>
      </x:c>
      <x:c r="G7" s="16" t="str">
        <x:v>2026-09-10</x:v>
      </x:c>
    </x:row>
    <x:row r="8">
      <x:c r="A8" s="16" t="str">
        <x:v>Japan</x:v>
      </x:c>
      <x:c r="B8" s="16" t="str">
        <x:v>JPY</x:v>
      </x:c>
      <x:c r="C8" s="42" t="n">
        <x:v>179.09</x:v>
      </x:c>
      <x:c r="D8" s="43" t="n">
        <x:f>C8/$C$5</x:f>
        <x:v>154.17527548209367</x:v>
      </x:c>
      <x:c r="E8" s="16" t="str">
        <x:v>REPORTED/CALCULATED</x:v>
      </x:c>
      <x:c r="F8" s="16" t="str">
        <x:v>https://www.ecb.europa.eu/stats/policy_and_exchange_rates/euro_reference_exchange_rates/html/index.en.html</x:v>
      </x:c>
      <x:c r="G8" s="16" t="str">
        <x:v>2026-09-10</x:v>
      </x:c>
    </x:row>
    <x:row r="9">
      <x:c r="A9" s="16" t="str">
        <x:v>United Arab Emirates</x:v>
      </x:c>
      <x:c r="B9" s="16" t="str">
        <x:v>AED</x:v>
      </x:c>
      <x:c r="C9" s="42"/>
      <x:c r="D9" s="42" t="n">
        <x:v>3.6725</x:v>
      </x:c>
      <x:c r="E9" s="16" t="str">
        <x:v>REPORTED</x:v>
      </x:c>
      <x:c r="F9" s="16" t="str">
        <x:v>https://u.ae/en/about-the-uae/fact-sheet</x:v>
      </x:c>
      <x:c r="G9" s="16" t="str">
        <x:v>current peg</x:v>
      </x:c>
    </x:row>
    <x:row r="10">
      <x:c r="A10" s="16" t="str">
        <x:v>Singapore</x:v>
      </x:c>
      <x:c r="B10" s="16" t="str">
        <x:v>SGD</x:v>
      </x:c>
      <x:c r="C10" s="42" t="n">
        <x:v>1.4711</x:v>
      </x:c>
      <x:c r="D10" s="43" t="n">
        <x:f>C10/$C$5</x:f>
        <x:v>1.2664428374655647</x:v>
      </x:c>
      <x:c r="E10" s="16" t="str">
        <x:v>REPORTED/CALCULATED</x:v>
      </x:c>
      <x:c r="F10" s="16" t="str">
        <x:v>https://www.ecb.europa.eu/stats/policy_and_exchange_rates/euro_reference_exchange_rates/html/index.en.html</x:v>
      </x:c>
      <x:c r="G10" s="16" t="str">
        <x:v>2026-09-10</x:v>
      </x:c>
    </x:row>
    <x:row r="11">
      <x:c r="A11" s="16" t="str">
        <x:v>United Kingdom</x:v>
      </x:c>
      <x:c r="B11" s="16" t="str">
        <x:v>GBP</x:v>
      </x:c>
      <x:c r="C11" s="42" t="n">
        <x:v>0.85915</x:v>
      </x:c>
      <x:c r="D11" s="43" t="n">
        <x:f>C11/$C$5</x:f>
        <x:v>0.7396263774104683</x:v>
      </x:c>
      <x:c r="E11" s="16" t="str">
        <x:v>REPORTED/CALCULATED</x:v>
      </x:c>
      <x:c r="F11" s="16" t="str">
        <x:v>https://www.ecb.europa.eu/stats/policy_and_exchange_rates/euro_reference_exchange_rates/html/index.en.html</x:v>
      </x:c>
      <x:c r="G11" s="16" t="str">
        <x:v>2026-09-10</x:v>
      </x:c>
    </x:row>
    <x:row r="12">
      <x:c r="A12" s="16" t="str">
        <x:v>Germany</x:v>
      </x:c>
      <x:c r="B12" s="16" t="str">
        <x:v>EUR</x:v>
      </x:c>
      <x:c r="C12" s="42" t="n">
        <x:v>1</x:v>
      </x:c>
      <x:c r="D12" s="43" t="n">
        <x:f>C12/$C$5</x:f>
        <x:v>0.8608815426997245</x:v>
      </x:c>
      <x:c r="E12" s="16" t="str">
        <x:v>REPORTED/CALCULATED</x:v>
      </x:c>
      <x:c r="F12" s="16" t="str">
        <x:v>https://www.ecb.europa.eu/stats/policy_and_exchange_rates/euro_reference_exchange_rates/html/index.en.html</x:v>
      </x:c>
      <x:c r="G12" s="16" t="str">
        <x:v>2026-09-10</x:v>
      </x:c>
    </x:row>
    <x:row r="13">
      <x:c r="A13" s="16" t="str">
        <x:v>Brazil</x:v>
      </x:c>
      <x:c r="B13" s="16" t="str">
        <x:v>BRL</x:v>
      </x:c>
      <x:c r="C13" s="42" t="n">
        <x:v>5.9528</x:v>
      </x:c>
      <x:c r="D13" s="43" t="n">
        <x:f>C13/$C$5</x:f>
        <x:v>5.12465564738292</x:v>
      </x:c>
      <x:c r="E13" s="16" t="str">
        <x:v>REPORTED/CALCULATED</x:v>
      </x:c>
      <x:c r="F13" s="16" t="str">
        <x:v>https://www.ecb.europa.eu/stats/policy_and_exchange_rates/euro_reference_exchange_rates/html/index.en.html</x:v>
      </x:c>
      <x:c r="G13" s="16" t="str">
        <x:v>2026-09-10</x:v>
      </x:c>
    </x:row>
    <x:row r="14">
      <x:c r="A14" s="16" t="str">
        <x:v>Türkiye</x:v>
      </x:c>
      <x:c r="B14" s="16" t="str">
        <x:v>TRY</x:v>
      </x:c>
      <x:c r="C14" s="42" t="n">
        <x:v>56.3316</x:v>
      </x:c>
      <x:c r="D14" s="43" t="n">
        <x:f>C14/$C$5</x:f>
        <x:v>48.4948347107438</x:v>
      </x:c>
      <x:c r="E14" s="16" t="str">
        <x:v>REPORTED/CALCULATED</x:v>
      </x:c>
      <x:c r="F14" s="16" t="str">
        <x:v>https://www.ecb.europa.eu/stats/policy_and_exchange_rates/euro_reference_exchange_rates/html/index.en.html</x:v>
      </x:c>
      <x:c r="G14" s="16" t="str">
        <x:v>2026-09-10</x:v>
      </x:c>
    </x:row>
    <x:row r="15">
      <x:c r="A15" s="16" t="str">
        <x:v>Canada</x:v>
      </x:c>
      <x:c r="B15" s="16" t="str">
        <x:v>CAD</x:v>
      </x:c>
      <x:c r="C15" s="42" t="n">
        <x:v>1.6049</x:v>
      </x:c>
      <x:c r="D15" s="43" t="n">
        <x:f>C15/$C$5</x:f>
        <x:v>1.3816287878787878</x:v>
      </x:c>
      <x:c r="E15" s="16" t="str">
        <x:v>REPORTED/CALCULATED</x:v>
      </x:c>
      <x:c r="F15" s="16" t="str">
        <x:v>https://www.ecb.europa.eu/stats/policy_and_exchange_rates/euro_reference_exchange_rates/html/index.en.html</x:v>
      </x:c>
      <x:c r="G15" s="16" t="str">
        <x:v>2026-09-10</x:v>
      </x:c>
    </x:row>
    <x:row r="16">
      <x:c r="A16" s="16" t="str">
        <x:v>Australia</x:v>
      </x:c>
      <x:c r="B16" s="16" t="str">
        <x:v>AUD</x:v>
      </x:c>
      <x:c r="C16" s="42" t="n">
        <x:v>1.6167</x:v>
      </x:c>
      <x:c r="D16" s="43" t="n">
        <x:f>C16/$C$5</x:f>
        <x:v>1.3917871900826446</x:v>
      </x:c>
      <x:c r="E16" s="16" t="str">
        <x:v>REPORTED/CALCULATED</x:v>
      </x:c>
      <x:c r="F16" s="16" t="str">
        <x:v>https://www.ecb.europa.eu/stats/policy_and_exchange_rates/euro_reference_exchange_rates/html/index.en.html</x:v>
      </x:c>
      <x:c r="G16" s="16" t="str">
        <x:v>2026-09-10</x:v>
      </x:c>
    </x:row>
    <x:row r="17">
      <x:c r="A17" s="16" t="str">
        <x:v>Hong Kong</x:v>
      </x:c>
      <x:c r="B17" s="16" t="str">
        <x:v>HKD</x:v>
      </x:c>
      <x:c r="C17" s="42" t="n">
        <x:v>9.1083</x:v>
      </x:c>
      <x:c r="D17" s="43" t="n">
        <x:f>C17/$C$5</x:f>
        <x:v>7.841167355371901</x:v>
      </x:c>
      <x:c r="E17" s="16" t="str">
        <x:v>REPORTED/CALCULATED</x:v>
      </x:c>
      <x:c r="F17" s="16" t="str">
        <x:v>https://www.ecb.europa.eu/stats/policy_and_exchange_rates/euro_reference_exchange_rates/html/index.en.html</x:v>
      </x:c>
      <x:c r="G17" s="16" t="str">
        <x:v>2026-09-10</x:v>
      </x:c>
    </x:row>
    <x:row r="18">
      <x:c r="A18" s="16"/>
      <x:c r="B18" s="16"/>
      <x:c r="C18" s="16"/>
      <x:c r="D18" s="16"/>
      <x:c r="E18" s="16"/>
      <x:c r="F18" s="16"/>
      <x:c r="G18" s="16"/>
    </x:row>
    <x:row r="19">
      <x:c r="A19" s="16"/>
      <x:c r="B19" s="16"/>
      <x:c r="C19" s="16"/>
      <x:c r="D19" s="16"/>
      <x:c r="E19" s="16"/>
      <x:c r="F19" s="16"/>
      <x:c r="G19" s="16"/>
    </x:row>
    <x:row r="20">
      <x:c r="A20" s="16"/>
      <x:c r="B20" s="16"/>
      <x:c r="C20" s="16"/>
      <x:c r="D20" s="16"/>
      <x:c r="E20" s="16"/>
      <x:c r="F20" s="16"/>
      <x:c r="G20" s="16"/>
    </x:row>
  </x:sheetData>
  <x:mergeCells>
    <x:mergeCell ref="A1:G2"/>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0" hidden="0" customWidth="1"/>
    <x:col min="3" max="3" width="18" hidden="0" customWidth="1"/>
    <x:col min="4" max="4" width="14" hidden="0" customWidth="1"/>
    <x:col min="5" max="5" width="10" hidden="0" customWidth="1"/>
    <x:col min="6" max="6" width="14" hidden="0" customWidth="1"/>
    <x:col min="7" max="7" width="16" hidden="0" customWidth="1"/>
    <x:col min="8" max="8" width="14" hidden="0" customWidth="1"/>
    <x:col min="9" max="9" width="10" hidden="0" customWidth="1"/>
    <x:col min="10" max="10" width="31" hidden="0" customWidth="1"/>
    <x:col min="11" max="11" width="14" hidden="0" customWidth="1"/>
    <x:col min="12" max="12" width="62" hidden="0" customWidth="1"/>
    <x:col min="13" max="13" width="14" hidden="0" customWidth="1"/>
    <x:col min="14" max="14" width="30" hidden="0" customWidth="1"/>
  </x:cols>
  <x:sheetData>
    <x:row r="1">
      <x:c r="A1" s="34" t="str">
        <x:v>iPhone 17 256GB — Current Apple Store Price Snapshot</x:v>
      </x:c>
      <x:c r="B1" s="34"/>
      <x:c r="C1" s="34"/>
      <x:c r="D1" s="34"/>
      <x:c r="E1" s="34"/>
      <x:c r="F1" s="34"/>
      <x:c r="G1" s="34"/>
      <x:c r="H1" s="34"/>
      <x:c r="I1" s="34"/>
      <x:c r="J1" s="34"/>
      <x:c r="K1" s="34"/>
      <x:c r="L1" s="34"/>
      <x:c r="M1" s="34"/>
      <x:c r="N1" s="34"/>
    </x:row>
    <x:row r="2">
      <x:c r="A2" s="34"/>
      <x:c r="B2" s="34"/>
      <x:c r="C2" s="34"/>
      <x:c r="D2" s="34"/>
      <x:c r="E2" s="34"/>
      <x:c r="F2" s="34"/>
      <x:c r="G2" s="34"/>
      <x:c r="H2" s="34"/>
      <x:c r="I2" s="34"/>
      <x:c r="J2" s="34"/>
      <x:c r="K2" s="34"/>
      <x:c r="L2" s="34"/>
      <x:c r="M2" s="34"/>
      <x:c r="N2" s="34"/>
    </x:row>
    <x:row r="3">
      <x:c r="A3" s="29" t="str">
        <x:v>Listed-price comparison only. Prices are not fully normalized for local taxes; India is GST-inclusive and US price is before state/local sales tax.</x:v>
      </x:c>
      <x:c r="B3" s="29"/>
      <x:c r="C3" s="29"/>
      <x:c r="D3" s="29"/>
      <x:c r="E3" s="29"/>
      <x:c r="F3" s="29"/>
      <x:c r="G3" s="29"/>
      <x:c r="H3" s="29"/>
      <x:c r="I3" s="29"/>
      <x:c r="J3" s="29"/>
      <x:c r="K3" s="29"/>
      <x:c r="L3" s="29"/>
      <x:c r="M3" s="29"/>
      <x:c r="N3" s="29"/>
    </x:row>
    <x:row r="4">
      <x:c r="A4" s="16"/>
      <x:c r="B4" s="16"/>
      <x:c r="C4" s="16"/>
      <x:c r="D4" s="16"/>
      <x:c r="E4" s="16"/>
      <x:c r="F4" s="16"/>
      <x:c r="G4" s="16"/>
      <x:c r="H4" s="16"/>
      <x:c r="I4" s="16"/>
      <x:c r="J4" s="16"/>
      <x:c r="K4" s="16"/>
      <x:c r="L4" s="16"/>
      <x:c r="M4" s="16"/>
      <x:c r="N4" s="16"/>
    </x:row>
    <x:row r="5">
      <x:c r="A5" s="21" t="str">
        <x:v>Country</x:v>
      </x:c>
      <x:c r="B5" s="21" t="str">
        <x:v>Currency</x:v>
      </x:c>
      <x:c r="C5" s="21" t="str">
        <x:v>Apple Price (Local)</x:v>
      </x:c>
      <x:c r="D5" s="21" t="str">
        <x:v>Model</x:v>
      </x:c>
      <x:c r="E5" s="21" t="str">
        <x:v>Storage</x:v>
      </x:c>
      <x:c r="F5" s="21" t="str">
        <x:v>FX Local/USD</x:v>
      </x:c>
      <x:c r="G5" s="21" t="str">
        <x:v>USD Equivalent</x:v>
      </x:c>
      <x:c r="H5" s="21" t="str">
        <x:v>Premium vs US</x:v>
      </x:c>
      <x:c r="I5" s="21" t="str">
        <x:v>Price Rank</x:v>
      </x:c>
      <x:c r="J5" s="21" t="str">
        <x:v>Tax normalization note</x:v>
      </x:c>
      <x:c r="K5" s="21" t="str">
        <x:v>Evidence</x:v>
      </x:c>
      <x:c r="L5" s="21" t="str">
        <x:v>Apple Source URL</x:v>
      </x:c>
      <x:c r="M5" s="21" t="str">
        <x:v>Snapshot</x:v>
      </x:c>
      <x:c r="N5" s="21" t="str">
        <x:v>Notes</x:v>
      </x:c>
    </x:row>
    <x:row r="6">
      <x:c r="A6" s="16" t="str">
        <x:v>United States</x:v>
      </x:c>
      <x:c r="B6" s="16" t="str">
        <x:v>USD</x:v>
      </x:c>
      <x:c r="C6" s="60" t="n">
        <x:v>929</x:v>
      </x:c>
      <x:c r="D6" s="16" t="str">
        <x:v>iPhone 17</x:v>
      </x:c>
      <x:c r="E6" s="16" t="str">
        <x:v>256GB</x:v>
      </x:c>
      <x:c r="F6" s="61" t="n">
        <x:f>'FX_Rates'!D5</x:f>
        <x:v>1</x:v>
      </x:c>
      <x:c r="G6" s="62" t="n">
        <x:f>C6/F6</x:f>
        <x:v>929</x:v>
      </x:c>
      <x:c r="H6" s="63" t="n">
        <x:f>G6/$G$6-1</x:f>
        <x:v>0</x:v>
      </x:c>
      <x:c r="I6" s="64" t="n">
        <x:f>RANK.EQ(G6,$G$6:$G$18,0)</x:f>
        <x:v>13</x:v>
      </x:c>
      <x:c r="J6" s="16" t="str">
        <x:v>US listed price; state/local sales tax excluded</x:v>
      </x:c>
      <x:c r="K6" s="16" t="str">
        <x:v>REPORTED</x:v>
      </x:c>
      <x:c r="L6" s="16" t="str">
        <x:v>https://www.apple.com/us/shop/buy-iphone/iphone-17</x:v>
      </x:c>
      <x:c r="M6" s="16" t="str">
        <x:v>2026-09-11</x:v>
      </x:c>
      <x:c r="N6" s="16" t="str">
        <x:v>Unlocked / 'Connect on your own later' price</x:v>
      </x:c>
    </x:row>
    <x:row r="7">
      <x:c r="A7" s="16" t="str">
        <x:v>India</x:v>
      </x:c>
      <x:c r="B7" s="16" t="str">
        <x:v>INR</x:v>
      </x:c>
      <x:c r="C7" s="60" t="n">
        <x:v>99900</x:v>
      </x:c>
      <x:c r="D7" s="16" t="str">
        <x:v>iPhone 17</x:v>
      </x:c>
      <x:c r="E7" s="16" t="str">
        <x:v>256GB</x:v>
      </x:c>
      <x:c r="F7" s="61" t="n">
        <x:f>'FX_Rates'!D6</x:f>
        <x:v>95.44120179063361</x:v>
      </x:c>
      <x:c r="G7" s="62" t="n">
        <x:f>C7/F7</x:f>
        <x:v>1046.7177500462276</x:v>
      </x:c>
      <x:c r="H7" s="63" t="n">
        <x:f>G7/$G$6-1</x:f>
        <x:v>0.12671447798302227</x:v>
      </x:c>
      <x:c r="I7" s="64" t="n">
        <x:f>RANK.EQ(G7,$G$6:$G$18,0)</x:f>
        <x:v>7</x:v>
      </x:c>
      <x:c r="J7" s="16" t="str">
        <x:v>Apple India prices explicitly include GST</x:v>
      </x:c>
      <x:c r="K7" s="16" t="str">
        <x:v>REPORTED</x:v>
      </x:c>
      <x:c r="L7" s="16" t="str">
        <x:v>https://www.apple.com/in/shop/buy-iphone/iphone-17/6.3%22-display-256gb-white</x:v>
      </x:c>
      <x:c r="M7" s="16" t="str">
        <x:v>2026-09-11</x:v>
      </x:c>
      <x:c r="N7" s="16" t="str">
        <x:v>Current post-Sep-2026 price</x:v>
      </x:c>
    </x:row>
    <x:row r="8">
      <x:c r="A8" s="16" t="str">
        <x:v>China</x:v>
      </x:c>
      <x:c r="B8" s="16" t="str">
        <x:v>CNY</x:v>
      </x:c>
      <x:c r="C8" s="60" t="n">
        <x:v>6799</x:v>
      </x:c>
      <x:c r="D8" s="16" t="str">
        <x:v>iPhone 17</x:v>
      </x:c>
      <x:c r="E8" s="16" t="str">
        <x:v>256GB</x:v>
      </x:c>
      <x:c r="F8" s="61" t="n">
        <x:f>'FX_Rates'!D7</x:f>
        <x:v>6.706267217630854</x:v>
      </x:c>
      <x:c r="G8" s="62" t="n">
        <x:f>C8/F8</x:f>
        <x:v>1013.8277792041079</x:v>
      </x:c>
      <x:c r="H8" s="63" t="n">
        <x:f>G8/$G$6-1</x:f>
        <x:v>0.09131084952002988</x:v>
      </x:c>
      <x:c r="I8" s="64" t="n">
        <x:f>RANK.EQ(G8,$G$6:$G$18,0)</x:f>
        <x:v>10</x:v>
      </x:c>
      <x:c r="J8" s="16" t="str">
        <x:v>Not tax-normalized in this version</x:v>
      </x:c>
      <x:c r="K8" s="16" t="str">
        <x:v>REPORTED</x:v>
      </x:c>
      <x:c r="L8" s="16" t="str">
        <x:v>https://www.apple.com.cn/shop/buy-iphone/iphone-17</x:v>
      </x:c>
      <x:c r="M8" s="16" t="str">
        <x:v>2026-09-11</x:v>
      </x:c>
      <x:c r="N8" s="16" t="str"/>
    </x:row>
    <x:row r="9">
      <x:c r="A9" s="16" t="str">
        <x:v>Japan</x:v>
      </x:c>
      <x:c r="B9" s="16" t="str">
        <x:v>JPY</x:v>
      </x:c>
      <x:c r="C9" s="60" t="n">
        <x:v>159800</x:v>
      </x:c>
      <x:c r="D9" s="16" t="str">
        <x:v>iPhone 17</x:v>
      </x:c>
      <x:c r="E9" s="16" t="str">
        <x:v>256GB</x:v>
      </x:c>
      <x:c r="F9" s="61" t="n">
        <x:f>'FX_Rates'!D8</x:f>
        <x:v>154.17527548209367</x:v>
      </x:c>
      <x:c r="G9" s="62" t="n">
        <x:f>C9/F9</x:f>
        <x:v>1036.4826623485399</x:v>
      </x:c>
      <x:c r="H9" s="63" t="n">
        <x:f>G9/$G$6-1</x:f>
        <x:v>0.11569716076269088</x:v>
      </x:c>
      <x:c r="I9" s="64" t="n">
        <x:f>RANK.EQ(G9,$G$6:$G$18,0)</x:f>
        <x:v>8</x:v>
      </x:c>
      <x:c r="J9" s="16" t="str">
        <x:v>Not tax-normalized in this version</x:v>
      </x:c>
      <x:c r="K9" s="16" t="str">
        <x:v>REPORTED</x:v>
      </x:c>
      <x:c r="L9" s="16" t="str">
        <x:v>https://www.apple.com/jp/shop/buy-iphone/iphone-17</x:v>
      </x:c>
      <x:c r="M9" s="16" t="str">
        <x:v>2026-09-11</x:v>
      </x:c>
      <x:c r="N9" s="16" t="str"/>
    </x:row>
    <x:row r="10">
      <x:c r="A10" s="16" t="str">
        <x:v>United Arab Emirates</x:v>
      </x:c>
      <x:c r="B10" s="16" t="str">
        <x:v>AED</x:v>
      </x:c>
      <x:c r="C10" s="60" t="n">
        <x:v>3799</x:v>
      </x:c>
      <x:c r="D10" s="16" t="str">
        <x:v>iPhone 17</x:v>
      </x:c>
      <x:c r="E10" s="16" t="str">
        <x:v>256GB</x:v>
      </x:c>
      <x:c r="F10" s="61" t="n">
        <x:f>'FX_Rates'!D9</x:f>
        <x:v>3.6725</x:v>
      </x:c>
      <x:c r="G10" s="62" t="n">
        <x:f>C10/F10</x:f>
        <x:v>1034.4452008168823</x:v>
      </x:c>
      <x:c r="H10" s="63" t="n">
        <x:f>G10/$G$6-1</x:f>
        <x:v>0.11350398365649328</x:v>
      </x:c>
      <x:c r="I10" s="64" t="n">
        <x:f>RANK.EQ(G10,$G$6:$G$18,0)</x:f>
        <x:v>9</x:v>
      </x:c>
      <x:c r="J10" s="16" t="str">
        <x:v>Not tax-normalized in this version</x:v>
      </x:c>
      <x:c r="K10" s="16" t="str">
        <x:v>REPORTED</x:v>
      </x:c>
      <x:c r="L10" s="16" t="str">
        <x:v>https://www.apple.com/ae/shop/buy-iphone/iphone-17</x:v>
      </x:c>
      <x:c r="M10" s="16" t="str">
        <x:v>2026-09-11</x:v>
      </x:c>
      <x:c r="N10" s="16" t="str"/>
    </x:row>
    <x:row r="11">
      <x:c r="A11" s="16" t="str">
        <x:v>Singapore</x:v>
      </x:c>
      <x:c r="B11" s="16" t="str">
        <x:v>SGD</x:v>
      </x:c>
      <x:c r="C11" s="60" t="n">
        <x:v>1449</x:v>
      </x:c>
      <x:c r="D11" s="16" t="str">
        <x:v>iPhone 17</x:v>
      </x:c>
      <x:c r="E11" s="16" t="str">
        <x:v>256GB</x:v>
      </x:c>
      <x:c r="F11" s="61" t="n">
        <x:f>'FX_Rates'!D10</x:f>
        <x:v>1.2664428374655647</x:v>
      </x:c>
      <x:c r="G11" s="62" t="n">
        <x:f>C11/F11</x:f>
        <x:v>1144.149547957311</x:v>
      </x:c>
      <x:c r="H11" s="63" t="n">
        <x:f>G11/$G$6-1</x:f>
        <x:v>0.23159262428128202</x:v>
      </x:c>
      <x:c r="I11" s="64" t="n">
        <x:f>RANK.EQ(G11,$G$6:$G$18,0)</x:f>
        <x:v>5</x:v>
      </x:c>
      <x:c r="J11" s="16" t="str">
        <x:v>Not tax-normalized in this version</x:v>
      </x:c>
      <x:c r="K11" s="16" t="str">
        <x:v>REPORTED</x:v>
      </x:c>
      <x:c r="L11" s="16" t="str">
        <x:v>https://www.apple.com/sg/shop/buy-iphone/iphone-17</x:v>
      </x:c>
      <x:c r="M11" s="16" t="str">
        <x:v>2026-09-11</x:v>
      </x:c>
      <x:c r="N11" s="16" t="str"/>
    </x:row>
    <x:row r="12">
      <x:c r="A12" s="16" t="str">
        <x:v>United Kingdom</x:v>
      </x:c>
      <x:c r="B12" s="16" t="str">
        <x:v>GBP</x:v>
      </x:c>
      <x:c r="C12" s="60" t="n">
        <x:v>899</x:v>
      </x:c>
      <x:c r="D12" s="16" t="str">
        <x:v>iPhone 17</x:v>
      </x:c>
      <x:c r="E12" s="16" t="str">
        <x:v>256GB</x:v>
      </x:c>
      <x:c r="F12" s="61" t="n">
        <x:f>'FX_Rates'!D11</x:f>
        <x:v>0.7396263774104683</x:v>
      </x:c>
      <x:c r="G12" s="62" t="n">
        <x:f>C12/F12</x:f>
        <x:v>1215.478554385148</x:v>
      </x:c>
      <x:c r="H12" s="63" t="n">
        <x:f>G12/$G$6-1</x:f>
        <x:v>0.30837304024235523</x:v>
      </x:c>
      <x:c r="I12" s="64" t="n">
        <x:f>RANK.EQ(G12,$G$6:$G$18,0)</x:f>
        <x:v>4</x:v>
      </x:c>
      <x:c r="J12" s="16" t="str">
        <x:v>Not tax-normalized in this version</x:v>
      </x:c>
      <x:c r="K12" s="16" t="str">
        <x:v>REPORTED</x:v>
      </x:c>
      <x:c r="L12" s="16" t="str">
        <x:v>https://www.apple.com/uk/shop/buy-iphone/iphone-17</x:v>
      </x:c>
      <x:c r="M12" s="16" t="str">
        <x:v>2026-09-11</x:v>
      </x:c>
      <x:c r="N12" s="16" t="str"/>
    </x:row>
    <x:row r="13">
      <x:c r="A13" s="16" t="str">
        <x:v>Germany</x:v>
      </x:c>
      <x:c r="B13" s="16" t="str">
        <x:v>EUR</x:v>
      </x:c>
      <x:c r="C13" s="60" t="n">
        <x:v>1099</x:v>
      </x:c>
      <x:c r="D13" s="16" t="str">
        <x:v>iPhone 17</x:v>
      </x:c>
      <x:c r="E13" s="16" t="str">
        <x:v>256GB</x:v>
      </x:c>
      <x:c r="F13" s="61" t="n">
        <x:f>'FX_Rates'!D12</x:f>
        <x:v>0.8608815426997245</x:v>
      </x:c>
      <x:c r="G13" s="62" t="n">
        <x:f>C13/F13</x:f>
        <x:v>1276.5984</x:v>
      </x:c>
      <x:c r="H13" s="63" t="n">
        <x:f>G13/$G$6-1</x:f>
        <x:v>0.37416404736275566</x:v>
      </x:c>
      <x:c r="I13" s="64" t="n">
        <x:f>RANK.EQ(G13,$G$6:$G$18,0)</x:f>
        <x:v>3</x:v>
      </x:c>
      <x:c r="J13" s="16" t="str">
        <x:v>Not tax-normalized in this version</x:v>
      </x:c>
      <x:c r="K13" s="16" t="str">
        <x:v>REPORTED</x:v>
      </x:c>
      <x:c r="L13" s="16" t="str">
        <x:v>https://www.apple.com/de/shop/buy-iphone/iphone-17</x:v>
      </x:c>
      <x:c r="M13" s="16" t="str">
        <x:v>2026-09-11</x:v>
      </x:c>
      <x:c r="N13" s="16" t="str"/>
    </x:row>
    <x:row r="14">
      <x:c r="A14" s="16" t="str">
        <x:v>Brazil</x:v>
      </x:c>
      <x:c r="B14" s="16" t="str">
        <x:v>BRL</x:v>
      </x:c>
      <x:c r="C14" s="60" t="n">
        <x:v>8299</x:v>
      </x:c>
      <x:c r="D14" s="16" t="str">
        <x:v>iPhone 17</x:v>
      </x:c>
      <x:c r="E14" s="16" t="str">
        <x:v>256GB</x:v>
      </x:c>
      <x:c r="F14" s="61" t="n">
        <x:f>'FX_Rates'!D13</x:f>
        <x:v>5.12465564738292</x:v>
      </x:c>
      <x:c r="G14" s="62" t="n">
        <x:f>C14/F14</x:f>
        <x:v>1619.4258836177933</x:v>
      </x:c>
      <x:c r="H14" s="63" t="n">
        <x:f>G14/$G$6-1</x:f>
        <x:v>0.7431925550245353</x:v>
      </x:c>
      <x:c r="I14" s="64" t="n">
        <x:f>RANK.EQ(G14,$G$6:$G$18,0)</x:f>
        <x:v>2</x:v>
      </x:c>
      <x:c r="J14" s="16" t="str">
        <x:v>Not tax-normalized in this version</x:v>
      </x:c>
      <x:c r="K14" s="16" t="str">
        <x:v>REPORTED</x:v>
      </x:c>
      <x:c r="L14" s="16" t="str">
        <x:v>https://www.apple.com/br/shop/buy-iphone/iphone-17</x:v>
      </x:c>
      <x:c r="M14" s="16" t="str">
        <x:v>2026-09-11</x:v>
      </x:c>
      <x:c r="N14" s="16" t="str"/>
    </x:row>
    <x:row r="15">
      <x:c r="A15" s="16" t="str">
        <x:v>Türkiye</x:v>
      </x:c>
      <x:c r="B15" s="16" t="str">
        <x:v>TRY</x:v>
      </x:c>
      <x:c r="C15" s="60" t="n">
        <x:v>99999</x:v>
      </x:c>
      <x:c r="D15" s="16" t="str">
        <x:v>iPhone 17</x:v>
      </x:c>
      <x:c r="E15" s="16" t="str">
        <x:v>256GB</x:v>
      </x:c>
      <x:c r="F15" s="61" t="n">
        <x:f>'FX_Rates'!D14</x:f>
        <x:v>48.4948347107438</x:v>
      </x:c>
      <x:c r="G15" s="62" t="n">
        <x:f>C15/F15</x:f>
        <x:v>2062.054662036938</x:v>
      </x:c>
      <x:c r="H15" s="63" t="n">
        <x:f>G15/$G$6-1</x:f>
        <x:v>1.2196497976716234</x:v>
      </x:c>
      <x:c r="I15" s="64" t="n">
        <x:f>RANK.EQ(G15,$G$6:$G$18,0)</x:f>
        <x:v>1</x:v>
      </x:c>
      <x:c r="J15" s="16" t="str">
        <x:v>Not tax-normalized in this version</x:v>
      </x:c>
      <x:c r="K15" s="16" t="str">
        <x:v>REPORTED</x:v>
      </x:c>
      <x:c r="L15" s="16" t="str">
        <x:v>https://www.apple.com/tr/shop/buy-iphone/iphone-17</x:v>
      </x:c>
      <x:c r="M15" s="16" t="str">
        <x:v>2026-09-11</x:v>
      </x:c>
      <x:c r="N15" s="16" t="str"/>
    </x:row>
    <x:row r="16">
      <x:c r="A16" s="16" t="str">
        <x:v>Canada</x:v>
      </x:c>
      <x:c r="B16" s="16" t="str">
        <x:v>CAD</x:v>
      </x:c>
      <x:c r="C16" s="60" t="n">
        <x:v>1299</x:v>
      </x:c>
      <x:c r="D16" s="16" t="str">
        <x:v>iPhone 17</x:v>
      </x:c>
      <x:c r="E16" s="16" t="str">
        <x:v>256GB</x:v>
      </x:c>
      <x:c r="F16" s="61" t="n">
        <x:f>'FX_Rates'!D15</x:f>
        <x:v>1.3816287878787878</x:v>
      </x:c>
      <x:c r="G16" s="62" t="n">
        <x:f>C16/F16</x:f>
        <x:v>940.1946538725155</x:v>
      </x:c>
      <x:c r="H16" s="63" t="n">
        <x:f>G16/$G$6-1</x:f>
        <x:v>0.012050219453730415</x:v>
      </x:c>
      <x:c r="I16" s="64" t="n">
        <x:f>RANK.EQ(G16,$G$6:$G$18,0)</x:f>
        <x:v>12</x:v>
      </x:c>
      <x:c r="J16" s="16" t="str">
        <x:v>Canadian sales taxes excluded from listed price</x:v>
      </x:c>
      <x:c r="K16" s="16" t="str">
        <x:v>REPORTED</x:v>
      </x:c>
      <x:c r="L16" s="16" t="str">
        <x:v>https://www.apple.com/ca/shop/buy-iphone/iphone-17</x:v>
      </x:c>
      <x:c r="M16" s="16" t="str">
        <x:v>2026-09-11</x:v>
      </x:c>
      <x:c r="N16" s="16" t="str"/>
    </x:row>
    <x:row r="17">
      <x:c r="A17" s="16" t="str">
        <x:v>Australia</x:v>
      </x:c>
      <x:c r="B17" s="16" t="str">
        <x:v>AUD</x:v>
      </x:c>
      <x:c r="C17" s="60" t="n">
        <x:v>1549</x:v>
      </x:c>
      <x:c r="D17" s="16" t="str">
        <x:v>iPhone 17</x:v>
      </x:c>
      <x:c r="E17" s="16" t="str">
        <x:v>256GB</x:v>
      </x:c>
      <x:c r="F17" s="61" t="n">
        <x:f>'FX_Rates'!D16</x:f>
        <x:v>1.3917871900826446</x:v>
      </x:c>
      <x:c r="G17" s="62" t="n">
        <x:f>C17/F17</x:f>
        <x:v>1112.9575060308034</x:v>
      </x:c>
      <x:c r="H17" s="63" t="n">
        <x:f>G17/$G$6-1</x:f>
        <x:v>0.1980166910988197</x:v>
      </x:c>
      <x:c r="I17" s="64" t="n">
        <x:f>RANK.EQ(G17,$G$6:$G$18,0)</x:f>
        <x:v>6</x:v>
      </x:c>
      <x:c r="J17" s="16" t="str">
        <x:v>Not tax-normalized in this version</x:v>
      </x:c>
      <x:c r="K17" s="16" t="str">
        <x:v>REPORTED</x:v>
      </x:c>
      <x:c r="L17" s="16" t="str">
        <x:v>https://www.apple.com/au/shop/buy-iphone/iphone-17</x:v>
      </x:c>
      <x:c r="M17" s="16" t="str">
        <x:v>2026-09-11</x:v>
      </x:c>
      <x:c r="N17" s="16" t="str"/>
    </x:row>
    <x:row r="18">
      <x:c r="A18" s="16" t="str">
        <x:v>Hong Kong</x:v>
      </x:c>
      <x:c r="B18" s="16" t="str">
        <x:v>HKD</x:v>
      </x:c>
      <x:c r="C18" s="60" t="n">
        <x:v>7799</x:v>
      </x:c>
      <x:c r="D18" s="16" t="str">
        <x:v>iPhone 17</x:v>
      </x:c>
      <x:c r="E18" s="16" t="str">
        <x:v>256GB</x:v>
      </x:c>
      <x:c r="F18" s="61" t="n">
        <x:f>'FX_Rates'!D17</x:f>
        <x:v>7.841167355371901</x:v>
      </x:c>
      <x:c r="G18" s="62" t="n">
        <x:f>C18/F18</x:f>
        <x:v>994.6223115180659</x:v>
      </x:c>
      <x:c r="H18" s="63" t="n">
        <x:f>G18/$G$6-1</x:f>
        <x:v>0.07063757967499029</x:v>
      </x:c>
      <x:c r="I18" s="64" t="n">
        <x:f>RANK.EQ(G18,$G$6:$G$18,0)</x:f>
        <x:v>11</x:v>
      </x:c>
      <x:c r="J18" s="16" t="str">
        <x:v>Hong Kong has no general sales tax; comparison still listed-price basis</x:v>
      </x:c>
      <x:c r="K18" s="16" t="str">
        <x:v>REPORTED</x:v>
      </x:c>
      <x:c r="L18" s="16" t="str">
        <x:v>https://www.apple.com/hk/shop/buy-iphone/iphone-17</x:v>
      </x:c>
      <x:c r="M18" s="16" t="str">
        <x:v>2026-09-11</x:v>
      </x:c>
      <x:c r="N18" s="16" t="str"/>
    </x:row>
    <x:row r="19">
      <x:c r="A19" s="16"/>
      <x:c r="B19" s="16"/>
      <x:c r="C19" s="16"/>
      <x:c r="D19" s="16"/>
      <x:c r="E19" s="16"/>
      <x:c r="F19" s="16"/>
      <x:c r="G19" s="16"/>
      <x:c r="H19" s="16"/>
      <x:c r="I19" s="16"/>
      <x:c r="J19" s="16"/>
      <x:c r="K19" s="16"/>
      <x:c r="L19" s="16"/>
      <x:c r="M19" s="16"/>
      <x:c r="N19" s="16"/>
    </x:row>
    <x:row r="20">
      <x:c r="A20" s="16"/>
      <x:c r="B20" s="16"/>
      <x:c r="C20" s="16"/>
      <x:c r="D20" s="16"/>
      <x:c r="E20" s="16"/>
      <x:c r="F20" s="16"/>
      <x:c r="G20" s="16"/>
      <x:c r="H20" s="16"/>
      <x:c r="I20" s="16"/>
      <x:c r="J20" s="16"/>
      <x:c r="K20" s="16"/>
      <x:c r="L20" s="16"/>
      <x:c r="M20" s="16"/>
      <x:c r="N20" s="16"/>
    </x:row>
  </x:sheetData>
  <x:mergeCells>
    <x:mergeCell ref="A1:N2"/>
    <x:mergeCell ref="A3:N3"/>
  </x:mergeCells>
  <x:conditionalFormatting sqref="H6:H18">
    <x:cfRule type="dataBar" priority="1">
      <x:dataBar>
        <x:cfvo type="min"/>
        <x:cfvo type="max"/>
        <x:color rgb="FFA02B93"/>
      </x:dataBar>
      <x:extLst>
        <x:ext xmlns:x14="http://schemas.microsoft.com/office/spreadsheetml/2009/9/main" uri="{B025F937-C7B1-47D3-B67F-A62EFF666E3E}">
          <x14:id>{D7D44091-4485-1D9D-8986-2ACA83B99242}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7D44091-4485-1D9D-8986-2ACA83B99242}">
            <x14:dataBar gradient="1">
              <x14:cfvo type="min"/>
              <x14:cfvo type="max"/>
              <x14:fillColor rgb="FFA02B93"/>
            </x14:dataBar>
          </x14:cfRule>
          <xm:sqref>H6:H18</xm:sqref>
        </x14:conditionalFormatting>
      </x14:conditionalFormattings>
    </x:ext>
  </x:extLst>
</x:worksheet>
</file>

<file path=xl/worksheets/sheet4.xml><?xml version="1.0" encoding="utf-8"?>
<x:worksheet xmlns:x="http://schemas.openxmlformats.org/spreadsheetml/2006/main">
  <x:sheetFormatPr defaultRowHeight="15"/>
  <x:cols>
    <x:col min="1" max="1" width="24" hidden="0" customWidth="1"/>
    <x:col min="2" max="2" width="18" hidden="0" customWidth="1"/>
    <x:col min="3" max="3" width="24" hidden="0" customWidth="1"/>
    <x:col min="4" max="4" width="22" hidden="0" customWidth="1"/>
    <x:col min="5" max="5" width="20" hidden="0" customWidth="1"/>
    <x:col min="6" max="6" width="22" hidden="0" customWidth="1"/>
    <x:col min="7" max="7" width="28" hidden="0" customWidth="1"/>
    <x:col min="8" max="8" width="62" hidden="0" customWidth="1"/>
  </x:cols>
  <x:sheetData>
    <x:row r="1">
      <x:c r="A1" s="149" t="str">
        <x:v>GDP-PPP Robustness Check — Price vs GDP per Capita (PPP)</x:v>
      </x:c>
      <x:c r="B1" s="149"/>
      <x:c r="C1" s="149"/>
      <x:c r="D1" s="149"/>
      <x:c r="E1" s="149"/>
      <x:c r="F1" s="149"/>
      <x:c r="G1" s="149"/>
      <x:c r="H1" s="149"/>
    </x:row>
    <x:row r="2">
      <x:c r="A2" s="34"/>
      <x:c r="B2" s="34"/>
      <x:c r="C2" s="34"/>
      <x:c r="D2" s="34"/>
      <x:c r="E2" s="34"/>
      <x:c r="F2" s="34"/>
      <x:c r="G2" s="34"/>
      <x:c r="H2" s="34"/>
    </x:row>
    <x:row r="3">
      <x:c r="A3" s="151" t="str">
        <x:v>Secondary macro robustness check only. GDP per capita PPP is NOT household income or salary; use Consumer_Affordability as the primary consumer-burden view.</x:v>
      </x:c>
      <x:c r="B3" s="151"/>
      <x:c r="C3" s="151"/>
      <x:c r="D3" s="151"/>
      <x:c r="E3" s="151"/>
      <x:c r="F3" s="151"/>
      <x:c r="G3" s="151"/>
      <x:c r="H3" s="151"/>
    </x:row>
    <x:row r="4">
      <x:c r="A4" s="16"/>
      <x:c r="B4" s="16"/>
      <x:c r="C4" s="16"/>
      <x:c r="D4" s="16"/>
      <x:c r="E4" s="16"/>
      <x:c r="F4" s="16"/>
      <x:c r="G4" s="16"/>
      <x:c r="H4" s="16"/>
    </x:row>
    <x:row r="5">
      <x:c r="A5" s="21" t="str">
        <x:v>Country</x:v>
      </x:c>
      <x:c r="B5" s="21" t="str">
        <x:v>iPhone Price (USD)</x:v>
      </x:c>
      <x:c r="C5" s="21" t="str">
        <x:v>2025 GDP/capita PPP (Intl$)</x:v>
      </x:c>
      <x:c r="D5" s="21" t="str">
        <x:v>Price as % of PPP GDP/capita</x:v>
      </x:c>
      <x:c r="E5" s="21" t="str">
        <x:v>PPP-equivalent months</x:v>
      </x:c>
      <x:c r="F5" s="21" t="str">
        <x:v>Affordability Rank (1=hardest)</x:v>
      </x:c>
      <x:c r="G5" s="21" t="str">
        <x:v>Evidence</x:v>
      </x:c>
      <x:c r="H5" s="21" t="str">
        <x:v>PPP Source URL</x:v>
      </x:c>
    </x:row>
    <x:row r="6">
      <x:c r="A6" s="16" t="str">
        <x:v>United States</x:v>
      </x:c>
      <x:c r="B6" s="78" t="n">
        <x:f>'Country_Prices'!G6</x:f>
        <x:v>929</x:v>
      </x:c>
      <x:c r="C6" s="79" t="n">
        <x:v>89991</x:v>
      </x:c>
      <x:c r="D6" s="80" t="n">
        <x:f>B6/C6</x:f>
        <x:v>0.01032325454767699</x:v>
      </x:c>
      <x:c r="E6" s="81" t="n">
        <x:f>D6*12</x:f>
        <x:v>0.12387905457212386</x:v>
      </x:c>
      <x:c r="F6" s="16" t="n">
        <x:f>RANK.EQ(D6,$D$6:$D$18,0)</x:f>
        <x:v>12</x:v>
      </x:c>
      <x:c r="G6" s="16" t="str">
        <x:v>REPORTED (IMF WEO Apr-2026 estimate via Worldometer)</x:v>
      </x:c>
      <x:c r="H6" s="16" t="str">
        <x:v>https://www.worldometers.info/gdp/gdp-per-capita/imf-2025-ppp-worldwide/</x:v>
      </x:c>
    </x:row>
    <x:row r="7">
      <x:c r="A7" s="16" t="str">
        <x:v>India</x:v>
      </x:c>
      <x:c r="B7" s="78" t="n">
        <x:f>'Country_Prices'!G7</x:f>
        <x:v>1046.7177500462276</x:v>
      </x:c>
      <x:c r="C7" s="79" t="n">
        <x:v>11789</x:v>
      </x:c>
      <x:c r="D7" s="80" t="n">
        <x:f>B7/C7</x:f>
        <x:v>0.08878766223142145</x:v>
      </x:c>
      <x:c r="E7" s="81" t="n">
        <x:f>D7*12</x:f>
        <x:v>1.0654519467770576</x:v>
      </x:c>
      <x:c r="F7" s="16" t="n">
        <x:f>RANK.EQ(D7,$D$6:$D$18,0)</x:f>
        <x:v>1</x:v>
      </x:c>
      <x:c r="G7" s="16" t="str">
        <x:v>REPORTED (IMF WEO Apr-2026 estimate via Worldometer)</x:v>
      </x:c>
      <x:c r="H7" s="16" t="str">
        <x:v>https://www.worldometers.info/gdp/gdp-per-capita/imf-2025-ppp-worldwide/</x:v>
      </x:c>
    </x:row>
    <x:row r="8">
      <x:c r="A8" s="16" t="str">
        <x:v>China</x:v>
      </x:c>
      <x:c r="B8" s="78" t="n">
        <x:f>'Country_Prices'!G8</x:f>
        <x:v>1013.8277792041079</x:v>
      </x:c>
      <x:c r="C8" s="79" t="n">
        <x:v>29352</x:v>
      </x:c>
      <x:c r="D8" s="80" t="n">
        <x:f>B8/C8</x:f>
        <x:v>0.034540330444402696</x:v>
      </x:c>
      <x:c r="E8" s="81" t="n">
        <x:f>D8*12</x:f>
        <x:v>0.4144839653328324</x:v>
      </x:c>
      <x:c r="F8" s="16" t="n">
        <x:f>RANK.EQ(D8,$D$6:$D$18,0)</x:f>
        <x:v>4</x:v>
      </x:c>
      <x:c r="G8" s="16" t="str">
        <x:v>REPORTED (IMF WEO Apr-2026 estimate via Worldometer)</x:v>
      </x:c>
      <x:c r="H8" s="16" t="str">
        <x:v>https://www.worldometers.info/gdp/gdp-per-capita/imf-2025-ppp-worldwide/</x:v>
      </x:c>
    </x:row>
    <x:row r="9">
      <x:c r="A9" s="16" t="str">
        <x:v>Japan</x:v>
      </x:c>
      <x:c r="B9" s="78" t="n">
        <x:f>'Country_Prices'!G9</x:f>
        <x:v>1036.4826623485399</x:v>
      </x:c>
      <x:c r="C9" s="79" t="n">
        <x:v>56854</x:v>
      </x:c>
      <x:c r="D9" s="80" t="n">
        <x:f>B9/C9</x:f>
        <x:v>0.018230602285653427</x:v>
      </x:c>
      <x:c r="E9" s="81" t="n">
        <x:f>D9*12</x:f>
        <x:v>0.2187672274278411</x:v>
      </x:c>
      <x:c r="F9" s="16" t="n">
        <x:f>RANK.EQ(D9,$D$6:$D$18,0)</x:f>
        <x:v>6</x:v>
      </x:c>
      <x:c r="G9" s="16" t="str">
        <x:v>REPORTED (IMF WEO Apr-2026 estimate via Worldometer)</x:v>
      </x:c>
      <x:c r="H9" s="16" t="str">
        <x:v>https://www.worldometers.info/gdp/gdp-per-capita/imf-2025-ppp-worldwide/</x:v>
      </x:c>
    </x:row>
    <x:row r="10">
      <x:c r="A10" s="16" t="str">
        <x:v>United Arab Emirates</x:v>
      </x:c>
      <x:c r="B10" s="78" t="n">
        <x:f>'Country_Prices'!G10</x:f>
        <x:v>1034.4452008168823</x:v>
      </x:c>
      <x:c r="C10" s="79" t="n">
        <x:v>83343</x:v>
      </x:c>
      <x:c r="D10" s="80" t="n">
        <x:f>B10/C10</x:f>
        <x:v>0.012411902629097613</x:v>
      </x:c>
      <x:c r="E10" s="81" t="n">
        <x:f>D10*12</x:f>
        <x:v>0.14894283154917137</x:v>
      </x:c>
      <x:c r="F10" s="16" t="n">
        <x:f>RANK.EQ(D10,$D$6:$D$18,0)</x:f>
        <x:v>10</x:v>
      </x:c>
      <x:c r="G10" s="16" t="str">
        <x:v>REPORTED (IMF WEO Apr-2026 estimate via Worldometer)</x:v>
      </x:c>
      <x:c r="H10" s="16" t="str">
        <x:v>https://www.worldometers.info/gdp/gdp-per-capita/imf-2025-ppp-worldwide/</x:v>
      </x:c>
    </x:row>
    <x:row r="11">
      <x:c r="A11" s="16" t="str">
        <x:v>Singapore</x:v>
      </x:c>
      <x:c r="B11" s="78" t="n">
        <x:f>'Country_Prices'!G11</x:f>
        <x:v>1144.149547957311</x:v>
      </x:c>
      <x:c r="C11" s="79" t="n">
        <x:v>164318</x:v>
      </x:c>
      <x:c r="D11" s="80" t="n">
        <x:f>B11/C11</x:f>
        <x:v>0.006963020167950626</x:v>
      </x:c>
      <x:c r="E11" s="81" t="n">
        <x:f>D11*12</x:f>
        <x:v>0.08355624201540751</x:v>
      </x:c>
      <x:c r="F11" s="16" t="n">
        <x:f>RANK.EQ(D11,$D$6:$D$18,0)</x:f>
        <x:v>13</x:v>
      </x:c>
      <x:c r="G11" s="16" t="str">
        <x:v>REPORTED (IMF WEO Apr-2026 estimate via Worldometer)</x:v>
      </x:c>
      <x:c r="H11" s="16" t="str">
        <x:v>https://www.worldometers.info/gdp/gdp-per-capita/imf-2025-ppp-worldwide/</x:v>
      </x:c>
    </x:row>
    <x:row r="12">
      <x:c r="A12" s="16" t="str">
        <x:v>United Kingdom</x:v>
      </x:c>
      <x:c r="B12" s="78" t="n">
        <x:f>'Country_Prices'!G12</x:f>
        <x:v>1215.478554385148</x:v>
      </x:c>
      <x:c r="C12" s="79" t="n">
        <x:v>65525</x:v>
      </x:c>
      <x:c r="D12" s="80" t="n">
        <x:f>B12/C12</x:f>
        <x:v>0.01854984440114686</x:v>
      </x:c>
      <x:c r="E12" s="81" t="n">
        <x:f>D12*12</x:f>
        <x:v>0.22259813281376234</x:v>
      </x:c>
      <x:c r="F12" s="16" t="n">
        <x:f>RANK.EQ(D12,$D$6:$D$18,0)</x:f>
        <x:v>5</x:v>
      </x:c>
      <x:c r="G12" s="16" t="str">
        <x:v>REPORTED (IMF WEO Apr-2026 estimate via Worldometer)</x:v>
      </x:c>
      <x:c r="H12" s="16" t="str">
        <x:v>https://www.worldometers.info/gdp/gdp-per-capita/imf-2025-ppp-worldwide/</x:v>
      </x:c>
    </x:row>
    <x:row r="13">
      <x:c r="A13" s="16" t="str">
        <x:v>Germany</x:v>
      </x:c>
      <x:c r="B13" s="78" t="n">
        <x:f>'Country_Prices'!G13</x:f>
        <x:v>1276.5984</x:v>
      </x:c>
      <x:c r="C13" s="79" t="n">
        <x:v>74004</x:v>
      </x:c>
      <x:c r="D13" s="80" t="n">
        <x:f>B13/C13</x:f>
        <x:v>0.01725039727582293</x:v>
      </x:c>
      <x:c r="E13" s="81" t="n">
        <x:f>D13*12</x:f>
        <x:v>0.20700476730987516</x:v>
      </x:c>
      <x:c r="F13" s="16" t="n">
        <x:f>RANK.EQ(D13,$D$6:$D$18,0)</x:f>
        <x:v>7</x:v>
      </x:c>
      <x:c r="G13" s="16" t="str">
        <x:v>REPORTED (IMF WEO Apr-2026 estimate via Worldometer)</x:v>
      </x:c>
      <x:c r="H13" s="16" t="str">
        <x:v>https://www.worldometers.info/gdp/gdp-per-capita/imf-2025-ppp-worldwide/</x:v>
      </x:c>
    </x:row>
    <x:row r="14">
      <x:c r="A14" s="16" t="str">
        <x:v>Brazil</x:v>
      </x:c>
      <x:c r="B14" s="78" t="n">
        <x:f>'Country_Prices'!G14</x:f>
        <x:v>1619.4258836177933</x:v>
      </x:c>
      <x:c r="C14" s="79" t="n">
        <x:v>23381</x:v>
      </x:c>
      <x:c r="D14" s="80" t="n">
        <x:f>B14/C14</x:f>
        <x:v>0.06926247310285245</x:v>
      </x:c>
      <x:c r="E14" s="81" t="n">
        <x:f>D14*12</x:f>
        <x:v>0.8311496772342295</x:v>
      </x:c>
      <x:c r="F14" s="16" t="n">
        <x:f>RANK.EQ(D14,$D$6:$D$18,0)</x:f>
        <x:v>2</x:v>
      </x:c>
      <x:c r="G14" s="16" t="str">
        <x:v>REPORTED (IMF WEO Apr-2026 estimate via Worldometer)</x:v>
      </x:c>
      <x:c r="H14" s="16" t="str">
        <x:v>https://www.worldometers.info/gdp/gdp-per-capita/imf-2025-ppp-worldwide/</x:v>
      </x:c>
    </x:row>
    <x:row r="15">
      <x:c r="A15" s="16" t="str">
        <x:v>Türkiye</x:v>
      </x:c>
      <x:c r="B15" s="78" t="n">
        <x:f>'Country_Prices'!G15</x:f>
        <x:v>2062.054662036938</x:v>
      </x:c>
      <x:c r="C15" s="79" t="n">
        <x:v>44110</x:v>
      </x:c>
      <x:c r="D15" s="80" t="n">
        <x:f>B15/C15</x:f>
        <x:v>0.046748008661005175</x:v>
      </x:c>
      <x:c r="E15" s="81" t="n">
        <x:f>D15*12</x:f>
        <x:v>0.5609761039320621</x:v>
      </x:c>
      <x:c r="F15" s="16" t="n">
        <x:f>RANK.EQ(D15,$D$6:$D$18,0)</x:f>
        <x:v>3</x:v>
      </x:c>
      <x:c r="G15" s="16" t="str">
        <x:v>REPORTED (IMF WEO Apr-2026 estimate via Worldometer)</x:v>
      </x:c>
      <x:c r="H15" s="16" t="str">
        <x:v>https://www.worldometers.info/gdp/gdp-per-capita/imf-2025-ppp-worldwide/</x:v>
      </x:c>
    </x:row>
    <x:row r="16">
      <x:c r="A16" s="16" t="str">
        <x:v>Canada</x:v>
      </x:c>
      <x:c r="B16" s="78" t="n">
        <x:f>'Country_Prices'!G16</x:f>
        <x:v>940.1946538725155</x:v>
      </x:c>
      <x:c r="C16" s="79" t="n">
        <x:v>67013</x:v>
      </x:c>
      <x:c r="D16" s="80" t="n">
        <x:f>B16/C16</x:f>
        <x:v>0.014030033782587192</x:v>
      </x:c>
      <x:c r="E16" s="81" t="n">
        <x:f>D16*12</x:f>
        <x:v>0.1683604053910463</x:v>
      </x:c>
      <x:c r="F16" s="16" t="n">
        <x:f>RANK.EQ(D16,$D$6:$D$18,0)</x:f>
        <x:v>9</x:v>
      </x:c>
      <x:c r="G16" s="16" t="str">
        <x:v>REPORTED (IMF WEO Apr-2026 estimate via Worldometer)</x:v>
      </x:c>
      <x:c r="H16" s="16" t="str">
        <x:v>https://www.worldometers.info/gdp/gdp-per-capita/imf-2025-ppp-worldwide/</x:v>
      </x:c>
    </x:row>
    <x:row r="17">
      <x:c r="A17" s="16" t="str">
        <x:v>Australia</x:v>
      </x:c>
      <x:c r="B17" s="78" t="n">
        <x:f>'Country_Prices'!G17</x:f>
        <x:v>1112.9575060308034</x:v>
      </x:c>
      <x:c r="C17" s="79" t="n">
        <x:v>72132</x:v>
      </x:c>
      <x:c r="D17" s="80" t="n">
        <x:f>B17/C17</x:f>
        <x:v>0.01542945580367664</x:v>
      </x:c>
      <x:c r="E17" s="81" t="n">
        <x:f>D17*12</x:f>
        <x:v>0.1851534696441197</x:v>
      </x:c>
      <x:c r="F17" s="16" t="n">
        <x:f>RANK.EQ(D17,$D$6:$D$18,0)</x:f>
        <x:v>8</x:v>
      </x:c>
      <x:c r="G17" s="16" t="str">
        <x:v>REPORTED (IMF WEO Apr-2026 estimate via Worldometer)</x:v>
      </x:c>
      <x:c r="H17" s="16" t="str">
        <x:v>https://www.worldometers.info/gdp/gdp-per-capita/imf-2025-ppp-worldwide/</x:v>
      </x:c>
    </x:row>
    <x:row r="18">
      <x:c r="A18" s="16" t="str">
        <x:v>Hong Kong</x:v>
      </x:c>
      <x:c r="B18" s="78" t="n">
        <x:f>'Country_Prices'!G18</x:f>
        <x:v>994.6223115180659</x:v>
      </x:c>
      <x:c r="C18" s="79" t="n">
        <x:v>80323</x:v>
      </x:c>
      <x:c r="D18" s="80" t="n">
        <x:f>B18/C18</x:f>
        <x:v>0.012382783405974204</x:v>
      </x:c>
      <x:c r="E18" s="81" t="n">
        <x:f>D18*12</x:f>
        <x:v>0.14859340087169043</x:v>
      </x:c>
      <x:c r="F18" s="16" t="n">
        <x:f>RANK.EQ(D18,$D$6:$D$18,0)</x:f>
        <x:v>11</x:v>
      </x:c>
      <x:c r="G18" s="16" t="str">
        <x:v>REPORTED (IMF WEO Apr-2026 estimate via Worldometer)</x:v>
      </x:c>
      <x:c r="H18" s="16" t="str">
        <x:v>https://www.worldometers.info/gdp/gdp-per-capita/imf-2025-ppp-worldwide/</x:v>
      </x:c>
    </x:row>
    <x:row r="19">
      <x:c r="A19" s="16"/>
      <x:c r="B19" s="16"/>
      <x:c r="C19" s="16"/>
      <x:c r="D19" s="16"/>
      <x:c r="E19" s="16"/>
      <x:c r="F19" s="16"/>
      <x:c r="G19" s="16"/>
      <x:c r="H19" s="16"/>
    </x:row>
    <x:row r="20">
      <x:c r="A20" s="16"/>
      <x:c r="B20" s="16"/>
      <x:c r="C20" s="16"/>
      <x:c r="D20" s="16"/>
      <x:c r="E20" s="16"/>
      <x:c r="F20" s="16"/>
      <x:c r="G20" s="16"/>
      <x:c r="H20" s="16"/>
    </x:row>
  </x:sheetData>
  <x:mergeCells>
    <x:mergeCell ref="A1:H2"/>
    <x:mergeCell ref="A3:H3"/>
  </x:mergeCells>
  <x:conditionalFormatting sqref="D6:D18">
    <x:cfRule type="dataBar" priority="1">
      <x:dataBar>
        <x:cfvo type="min"/>
        <x:cfvo type="max"/>
        <x:color rgb="FFA02B93"/>
      </x:dataBar>
      <x:extLst>
        <x:ext xmlns:x14="http://schemas.microsoft.com/office/spreadsheetml/2009/9/main" uri="{B025F937-C7B1-47D3-B67F-A62EFF666E3E}">
          <x14:id>{7A9573B5-FAA6-2C3D-D667-22E25DFD2900}</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A9573B5-FAA6-2C3D-D667-22E25DFD2900}">
            <x14:dataBar gradient="1">
              <x14:cfvo type="min"/>
              <x14:cfvo type="max"/>
              <x14:fillColor rgb="FFA02B93"/>
            </x14:dataBar>
          </x14:cfRule>
          <xm:sqref>D6:D18</xm:sqref>
        </x14:conditionalFormatting>
      </x14:conditionalFormattings>
    </x:ext>
  </x:extLst>
</x:worksheet>
</file>

<file path=xl/worksheets/sheet5.xml><?xml version="1.0" encoding="utf-8"?>
<x:worksheet xmlns:x="http://schemas.openxmlformats.org/spreadsheetml/2006/main">
  <x:sheetFormatPr defaultRowHeight="15"/>
  <x:cols>
    <x:col min="1" max="1" width="37" hidden="0" customWidth="1"/>
    <x:col min="2" max="2" width="14" hidden="0" customWidth="1"/>
    <x:col min="3" max="3" width="16" hidden="0" customWidth="1"/>
    <x:col min="4" max="4" width="12" hidden="0" customWidth="1"/>
    <x:col min="5" max="5" width="22" hidden="0" customWidth="1"/>
    <x:col min="6" max="6" width="28" hidden="0" customWidth="1"/>
    <x:col min="7" max="7" width="62" hidden="0" customWidth="1"/>
    <x:col min="8" max="8" width="39" hidden="0" customWidth="1"/>
    <x:col min="9" max="9" width="42" hidden="0" customWidth="1"/>
  </x:cols>
  <x:sheetData>
    <x:row r="1">
      <x:c r="A1" s="34" t="str">
        <x:v>India iPhone Manufacturing &amp; Export Evidence</x:v>
      </x:c>
      <x:c r="B1" s="34"/>
      <x:c r="C1" s="34"/>
      <x:c r="D1" s="34"/>
      <x:c r="E1" s="34"/>
      <x:c r="F1" s="34"/>
      <x:c r="G1" s="34"/>
      <x:c r="H1" s="34"/>
      <x:c r="I1" s="34"/>
    </x:row>
    <x:row r="2">
      <x:c r="A2" s="34"/>
      <x:c r="B2" s="34"/>
      <x:c r="C2" s="34"/>
      <x:c r="D2" s="34"/>
      <x:c r="E2" s="34"/>
      <x:c r="F2" s="34"/>
      <x:c r="G2" s="34"/>
      <x:c r="H2" s="34"/>
      <x:c r="I2" s="34"/>
    </x:row>
    <x:row r="3">
      <x:c r="A3" s="16"/>
      <x:c r="B3" s="16"/>
      <x:c r="C3" s="16"/>
      <x:c r="D3" s="16"/>
      <x:c r="E3" s="16"/>
      <x:c r="F3" s="16"/>
      <x:c r="G3" s="16"/>
      <x:c r="H3" s="16"/>
      <x:c r="I3" s="16"/>
    </x:row>
    <x:row r="4">
      <x:c r="A4" s="21" t="str">
        <x:v>Metric</x:v>
      </x:c>
      <x:c r="B4" s="21" t="str">
        <x:v>Period</x:v>
      </x:c>
      <x:c r="C4" s="21" t="str">
        <x:v>Value</x:v>
      </x:c>
      <x:c r="D4" s="21" t="str">
        <x:v>Unit</x:v>
      </x:c>
      <x:c r="E4" s="21" t="str">
        <x:v>Evidence</x:v>
      </x:c>
      <x:c r="F4" s="21" t="str">
        <x:v>Source</x:v>
      </x:c>
      <x:c r="G4" s="21" t="str">
        <x:v>Source URL</x:v>
      </x:c>
      <x:c r="H4" s="21" t="str">
        <x:v>Why it matters</x:v>
      </x:c>
      <x:c r="I4" s="21" t="str">
        <x:v>Caveat</x:v>
      </x:c>
    </x:row>
    <x:row r="5">
      <x:c r="A5" s="16" t="str">
        <x:v>iPhone production value</x:v>
      </x:c>
      <x:c r="B5" s="16" t="str">
        <x:v>FY26</x:v>
      </x:c>
      <x:c r="C5" s="90" t="n">
        <x:v>26</x:v>
      </x:c>
      <x:c r="D5" s="16" t="str">
        <x:v>USD bn</x:v>
      </x:c>
      <x:c r="E5" s="16" t="str">
        <x:v>REPORTED</x:v>
      </x:c>
      <x:c r="F5" s="16" t="str">
        <x:v>Business Standard / MeitY official cited</x:v>
      </x:c>
      <x:c r="G5" s="16" t="str">
        <x:v>https://www.business-standard.com/amp/companies/news/apple-may-soon-become-forex-positive-on-india-iphone-production-126061801389_1.html</x:v>
      </x:c>
      <x:c r="H5" s="16" t="str">
        <x:v>Shows India is a major production base</x:v>
      </x:c>
      <x:c r="I5" s="16" t="str">
        <x:v>FOB production value, not retail sales value</x:v>
      </x:c>
    </x:row>
    <x:row r="6">
      <x:c r="A6" s="16" t="str">
        <x:v>iPhone export value</x:v>
      </x:c>
      <x:c r="B6" s="16" t="str">
        <x:v>FY26</x:v>
      </x:c>
      <x:c r="C6" s="90" t="n">
        <x:v>21.5</x:v>
      </x:c>
      <x:c r="D6" s="16" t="str">
        <x:v>USD bn</x:v>
      </x:c>
      <x:c r="E6" s="16" t="str">
        <x:v>REPORTED</x:v>
      </x:c>
      <x:c r="F6" s="16" t="str">
        <x:v>Business Standard / MeitY official cited</x:v>
      </x:c>
      <x:c r="G6" s="16" t="str">
        <x:v>https://www.business-standard.com/amp/companies/news/apple-may-soon-become-forex-positive-on-india-iphone-production-126061801389_1.html</x:v>
      </x:c>
      <x:c r="H6" s="16" t="str">
        <x:v>Most production value is exported</x:v>
      </x:c>
      <x:c r="I6" s="16" t="str">
        <x:v>Source also reports ~₹2tn using different timing/rounding</x:v>
      </x:c>
    </x:row>
    <x:row r="7">
      <x:c r="A7" s="16" t="str">
        <x:v>Export share of India iPhone production</x:v>
      </x:c>
      <x:c r="B7" s="16" t="str">
        <x:v>FY26</x:v>
      </x:c>
      <x:c r="C7" s="91" t="n">
        <x:v>0.83</x:v>
      </x:c>
      <x:c r="D7" s="16" t="str">
        <x:v>%</x:v>
      </x:c>
      <x:c r="E7" s="16" t="str">
        <x:v>REPORTED</x:v>
      </x:c>
      <x:c r="F7" s="16" t="str">
        <x:v>Business Standard / MeitY official cited</x:v>
      </x:c>
      <x:c r="G7" s="16" t="str">
        <x:v>https://www.business-standard.com/amp/companies/news/apple-may-soon-become-forex-positive-on-india-iphone-production-126061801389_1.html</x:v>
      </x:c>
      <x:c r="H7" s="16" t="str">
        <x:v>Explains why local output does not map directly to domestic supply/pricing</x:v>
      </x:c>
      <x:c r="I7" s="16" t="str">
        <x:v>Value share, not unit share</x:v>
      </x:c>
    </x:row>
    <x:row r="8">
      <x:c r="A8" s="16" t="str">
        <x:v>Apple iPhone India value-addition (average)</x:v>
      </x:c>
      <x:c r="B8" s="16" t="str">
        <x:v>FY26</x:v>
      </x:c>
      <x:c r="C8" s="91" t="n">
        <x:v>0.145</x:v>
      </x:c>
      <x:c r="D8" s="16" t="str">
        <x:v>%</x:v>
      </x:c>
      <x:c r="E8" s="16" t="str">
        <x:v>REPORTED / ESTIMATED</x:v>
      </x:c>
      <x:c r="F8" s="16" t="str">
        <x:v>Business Standard citing official/industry inputs</x:v>
      </x:c>
      <x:c r="G8" s="16" t="str">
        <x:v>https://www.business-standard.com/companies/news/apple-may-soon-become-forex-positive-on-india-iphone-production-126061801389_1.html</x:v>
      </x:c>
      <x:c r="H8" s="16" t="str">
        <x:v>Local assembly does not equal full localization</x:v>
      </x:c>
      <x:c r="I8" s="16" t="str">
        <x:v>Reported range 12%-17% by model; 14.5% average</x:v>
      </x:c>
    </x:row>
    <x:row r="9">
      <x:c r="A9" s="16" t="str">
        <x:v>India electronics domestic value addition</x:v>
      </x:c>
      <x:c r="B9" s="16" t="str">
        <x:v>Apr-2026</x:v>
      </x:c>
      <x:c r="C9" s="91" t="n">
        <x:v>0.19</x:v>
      </x:c>
      <x:c r="D9" s="16" t="str">
        <x:v>%</x:v>
      </x:c>
      <x:c r="E9" s="16" t="str">
        <x:v>REPORTED</x:v>
      </x:c>
      <x:c r="F9" s="16" t="str">
        <x:v>PIB / MeitY</x:v>
      </x:c>
      <x:c r="G9" s="16" t="str">
        <x:v>https://www.pib.gov.in/PressReleasePage.aspx?PRID=2247771&amp;lang=1&amp;reg=1</x:v>
      </x:c>
      <x:c r="H9" s="16" t="str">
        <x:v>Provides ecosystem context</x:v>
      </x:c>
      <x:c r="I9" s="16" t="str">
        <x:v>PIB says 18%-20%; workbook uses midpoint only for display</x:v>
      </x:c>
    </x:row>
    <x:row r="10">
      <x:c r="A10" s="16" t="str">
        <x:v>Components and other import bill linked to iPhone production</x:v>
      </x:c>
      <x:c r="B10" s="16" t="str">
        <x:v>FY26</x:v>
      </x:c>
      <x:c r="C10" s="90" t="n">
        <x:v>22.3</x:v>
      </x:c>
      <x:c r="D10" s="16" t="str">
        <x:v>USD bn</x:v>
      </x:c>
      <x:c r="E10" s="16" t="str">
        <x:v>REPORTED</x:v>
      </x:c>
      <x:c r="F10" s="16" t="str">
        <x:v>Business Standard</x:v>
      </x:c>
      <x:c r="G10" s="16" t="str">
        <x:v>https://www.business-standard.com/amp/companies/news/apple-may-soon-become-forex-positive-on-india-iphone-production-126061801389_1.html</x:v>
      </x:c>
      <x:c r="H10" s="16" t="str">
        <x:v>Highlights continued imported-input exposure</x:v>
      </x:c>
      <x:c r="I10" s="16" t="str">
        <x:v>Broad 'components and others' figure; do not map directly to one phone</x:v>
      </x:c>
    </x:row>
    <x:row r="11">
      <x:c r="A11" s="16" t="str">
        <x:v>Five-year iPhone production value in India</x:v>
      </x:c>
      <x:c r="B11" s="16" t="str">
        <x:v>FY22-FY26</x:v>
      </x:c>
      <x:c r="C11" s="90" t="n">
        <x:v>71</x:v>
      </x:c>
      <x:c r="D11" s="16" t="str">
        <x:v>USD bn</x:v>
      </x:c>
      <x:c r="E11" s="16" t="str">
        <x:v>REPORTED</x:v>
      </x:c>
      <x:c r="F11" s="16" t="str">
        <x:v>Business Standard</x:v>
      </x:c>
      <x:c r="G11" s="16" t="str">
        <x:v>https://www.business-standard.com/amp/companies/news/apple-may-soon-become-forex-positive-on-india-iphone-production-126061801389_1.html</x:v>
      </x:c>
      <x:c r="H11" s="16" t="str">
        <x:v>Shows scale-up under PLI period</x:v>
      </x:c>
      <x:c r="I11" s="16" t="str">
        <x:v>Cumulative FOB value</x:v>
      </x:c>
    </x:row>
    <x:row r="12">
      <x:c r="A12" s="16" t="str">
        <x:v>Five-year iPhone export value from India</x:v>
      </x:c>
      <x:c r="B12" s="16" t="str">
        <x:v>FY22-FY26</x:v>
      </x:c>
      <x:c r="C12" s="90" t="n">
        <x:v>55.5</x:v>
      </x:c>
      <x:c r="D12" s="16" t="str">
        <x:v>USD bn</x:v>
      </x:c>
      <x:c r="E12" s="16" t="str">
        <x:v>REPORTED</x:v>
      </x:c>
      <x:c r="F12" s="16" t="str">
        <x:v>Business Standard</x:v>
      </x:c>
      <x:c r="G12" s="16" t="str">
        <x:v>https://www.business-standard.com/amp/companies/news/apple-may-soon-become-forex-positive-on-india-iphone-production-126061801389_1.html</x:v>
      </x:c>
      <x:c r="H12" s="16" t="str">
        <x:v>Shows export-led manufacturing strategy</x:v>
      </x:c>
      <x:c r="I12" s="16" t="str">
        <x:v>Cumulative value</x:v>
      </x:c>
    </x:row>
    <x:row r="13">
      <x:c r="A13" s="16"/>
      <x:c r="B13" s="16"/>
      <x:c r="C13" s="16"/>
      <x:c r="D13" s="16"/>
      <x:c r="E13" s="16"/>
      <x:c r="F13" s="16"/>
      <x:c r="G13" s="16"/>
      <x:c r="H13" s="16"/>
      <x:c r="I13" s="16"/>
    </x:row>
    <x:row r="14">
      <x:c r="A14" s="16"/>
      <x:c r="B14" s="16"/>
      <x:c r="C14" s="16"/>
      <x:c r="D14" s="16"/>
      <x:c r="E14" s="16"/>
      <x:c r="F14" s="16"/>
      <x:c r="G14" s="16"/>
      <x:c r="H14" s="16"/>
      <x:c r="I14" s="16"/>
    </x:row>
    <x:row r="15">
      <x:c r="A15" s="16"/>
      <x:c r="B15" s="16"/>
      <x:c r="C15" s="16"/>
      <x:c r="D15" s="16"/>
      <x:c r="E15" s="16"/>
      <x:c r="F15" s="16"/>
      <x:c r="G15" s="16"/>
      <x:c r="H15" s="16"/>
      <x:c r="I15" s="16"/>
    </x:row>
  </x:sheetData>
  <x:mergeCells>
    <x:mergeCell ref="A1:I2"/>
  </x:mergeCells>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18" hidden="0" customWidth="1"/>
    <x:col min="3" max="3" width="12" hidden="0" customWidth="1"/>
    <x:col min="4" max="4" width="18" hidden="0" customWidth="1"/>
    <x:col min="5" max="5" width="42" hidden="0" customWidth="1"/>
    <x:col min="6" max="6" width="52" hidden="0" customWidth="1"/>
  </x:cols>
  <x:sheetData>
    <x:row r="1">
      <x:c r="A1" s="34" t="str">
        <x:v>India vs US — Price Decomposition (Observed + Calculated)</x:v>
      </x:c>
      <x:c r="B1" s="34"/>
      <x:c r="C1" s="34"/>
      <x:c r="D1" s="34"/>
      <x:c r="E1" s="34"/>
      <x:c r="F1" s="34"/>
    </x:row>
    <x:row r="2">
      <x:c r="A2" s="34"/>
      <x:c r="B2" s="34"/>
      <x:c r="C2" s="34"/>
      <x:c r="D2" s="34"/>
      <x:c r="E2" s="34"/>
      <x:c r="F2" s="34"/>
    </x:row>
    <x:row r="3">
      <x:c r="A3" s="29" t="str">
        <x:v>Purpose: isolate the effect of GST and FX without pretending public data can fully decompose Apple's pricing, duties, channel economics, or margin.</x:v>
      </x:c>
      <x:c r="B3" s="29"/>
      <x:c r="C3" s="29"/>
      <x:c r="D3" s="29"/>
      <x:c r="E3" s="29"/>
      <x:c r="F3" s="29"/>
    </x:row>
    <x:row r="4">
      <x:c r="A4" s="16"/>
      <x:c r="B4" s="16"/>
      <x:c r="C4" s="16"/>
      <x:c r="D4" s="16"/>
      <x:c r="E4" s="16"/>
      <x:c r="F4" s="16"/>
    </x:row>
    <x:row r="5">
      <x:c r="A5" s="21" t="str">
        <x:v>Metric</x:v>
      </x:c>
      <x:c r="B5" s="21" t="str">
        <x:v>Value</x:v>
      </x:c>
      <x:c r="C5" s="21" t="str">
        <x:v>Unit</x:v>
      </x:c>
      <x:c r="D5" s="21" t="str">
        <x:v>Evidence</x:v>
      </x:c>
      <x:c r="E5" s="21" t="str">
        <x:v>Source / Formula</x:v>
      </x:c>
      <x:c r="F5" s="21" t="str">
        <x:v>Interpretation</x:v>
      </x:c>
    </x:row>
    <x:row r="6">
      <x:c r="A6" s="16" t="str">
        <x:v>India Apple listed price</x:v>
      </x:c>
      <x:c r="B6" s="106" t="n">
        <x:v>99900</x:v>
      </x:c>
      <x:c r="C6" s="16" t="str">
        <x:v>INR</x:v>
      </x:c>
      <x:c r="D6" s="16" t="str">
        <x:v>REPORTED</x:v>
      </x:c>
      <x:c r="E6" s="16" t="str">
        <x:v>Apple India</x:v>
      </x:c>
      <x:c r="F6" s="16" t="str">
        <x:v>GST-inclusive</x:v>
      </x:c>
    </x:row>
    <x:row r="7">
      <x:c r="A7" s="16" t="str">
        <x:v>India GST rate</x:v>
      </x:c>
      <x:c r="B7" s="91" t="n">
        <x:v>0.18</x:v>
      </x:c>
      <x:c r="C7" s="16" t="str">
        <x:v>%</x:v>
      </x:c>
      <x:c r="D7" s="16" t="str">
        <x:v>REPORTED</x:v>
      </x:c>
      <x:c r="E7" s="16" t="str">
        <x:v>GST/CBIC + Apple India payments</x:v>
      </x:c>
      <x:c r="F7" s="16" t="str">
        <x:v>Applicable GST used for simplified ex-GST bridge</x:v>
      </x:c>
    </x:row>
    <x:row r="8">
      <x:c r="A8" s="16" t="str">
        <x:v>INR per USD</x:v>
      </x:c>
      <x:c r="B8" s="107" t="n">
        <x:f>'FX_Rates'!D6</x:f>
        <x:v>95.44120179063361</x:v>
      </x:c>
      <x:c r="C8" s="16" t="str">
        <x:v>INR/USD</x:v>
      </x:c>
      <x:c r="D8" s="16" t="str">
        <x:v>CALCULATED</x:v>
      </x:c>
      <x:c r="E8" s="16" t="str">
        <x:v>ECB 10-Sep-2026 cross-rate</x:v>
      </x:c>
      <x:c r="F8" s="16" t="str">
        <x:v>FX snapshot</x:v>
      </x:c>
    </x:row>
    <x:row r="9">
      <x:c r="A9" s="16" t="str">
        <x:v>India listed price in USD</x:v>
      </x:c>
      <x:c r="B9" s="108" t="n">
        <x:f>B6/B8</x:f>
        <x:v>1046.7177500462276</x:v>
      </x:c>
      <x:c r="C9" s="16" t="str">
        <x:v>USD</x:v>
      </x:c>
      <x:c r="D9" s="16" t="str">
        <x:v>CALCULATED</x:v>
      </x:c>
      <x:c r="E9" s="16" t="str">
        <x:v>= INR price / INR per USD</x:v>
      </x:c>
      <x:c r="F9" s="16" t="str">
        <x:v>Listed-price comparison</x:v>
      </x:c>
    </x:row>
    <x:row r="10">
      <x:c r="A10" s="16" t="str">
        <x:v>India implied pre-GST price</x:v>
      </x:c>
      <x:c r="B10" s="109" t="n">
        <x:f>B6/(1+B7)</x:f>
        <x:v>84661.01694915254</x:v>
      </x:c>
      <x:c r="C10" s="16" t="str">
        <x:v>INR</x:v>
      </x:c>
      <x:c r="D10" s="16" t="str">
        <x:v>CALCULATED</x:v>
      </x:c>
      <x:c r="E10" s="16" t="str">
        <x:v>= listed price / (1+GST)</x:v>
      </x:c>
      <x:c r="F10" s="16" t="str">
        <x:v>Removes GST only; does not remove embedded duties/costs</x:v>
      </x:c>
    </x:row>
    <x:row r="11">
      <x:c r="A11" s="16" t="str">
        <x:v>India implied pre-GST price in USD</x:v>
      </x:c>
      <x:c r="B11" s="108" t="n">
        <x:f>B10/B8</x:f>
        <x:v>887.048940717142</x:v>
      </x:c>
      <x:c r="C11" s="16" t="str">
        <x:v>USD</x:v>
      </x:c>
      <x:c r="D11" s="16" t="str">
        <x:v>CALCULATED</x:v>
      </x:c>
      <x:c r="E11" s="16" t="str">
        <x:v>= pre-GST INR / INR per USD</x:v>
      </x:c>
      <x:c r="F11" s="16" t="str">
        <x:v>Tax-adjusted bridge</x:v>
      </x:c>
    </x:row>
    <x:row r="12">
      <x:c r="A12" s="16" t="str">
        <x:v>US Apple unlocked listed price</x:v>
      </x:c>
      <x:c r="B12" s="110" t="n">
        <x:v>929</x:v>
      </x:c>
      <x:c r="C12" s="16" t="str">
        <x:v>USD</x:v>
      </x:c>
      <x:c r="D12" s="16" t="str">
        <x:v>REPORTED</x:v>
      </x:c>
      <x:c r="E12" s="16" t="str">
        <x:v>Apple US</x:v>
      </x:c>
      <x:c r="F12" s="16" t="str">
        <x:v>Before state/local sales tax</x:v>
      </x:c>
    </x:row>
    <x:row r="13">
      <x:c r="A13" s="16" t="str">
        <x:v>India listed premium vs US</x:v>
      </x:c>
      <x:c r="B13" s="63" t="n">
        <x:f>B9/B12-1</x:f>
        <x:v>0.12671447798302227</x:v>
      </x:c>
      <x:c r="C13" s="16" t="str">
        <x:v>%</x:v>
      </x:c>
      <x:c r="D13" s="16" t="str">
        <x:v>CALCULATED</x:v>
      </x:c>
      <x:c r="E13" s="16" t="str">
        <x:v>= India USD / US price - 1</x:v>
      </x:c>
      <x:c r="F13" s="16" t="str">
        <x:v>Not tax-normalized</x:v>
      </x:c>
    </x:row>
    <x:row r="14">
      <x:c r="A14" s="16" t="str">
        <x:v>India pre-GST difference vs US</x:v>
      </x:c>
      <x:c r="B14" s="63" t="n">
        <x:f>B11/B12-1</x:f>
        <x:v>-0.045157222048286316</x:v>
      </x:c>
      <x:c r="C14" s="16" t="str">
        <x:v>%</x:v>
      </x:c>
      <x:c r="D14" s="16" t="str">
        <x:v>CALCULATED</x:v>
      </x:c>
      <x:c r="E14" s="16" t="str">
        <x:v>= India pre-GST USD / US price - 1</x:v>
      </x:c>
      <x:c r="F14" s="16" t="str">
        <x:v>Shows GST explains much of the observed gap in this snapshot</x:v>
      </x:c>
    </x:row>
    <x:row r="15">
      <x:c r="A15" s="16" t="str">
        <x:v>India iPhone 17 previous listed price</x:v>
      </x:c>
      <x:c r="B15" s="106" t="n">
        <x:v>82900</x:v>
      </x:c>
      <x:c r="C15" s="16" t="str">
        <x:v>INR</x:v>
      </x:c>
      <x:c r="D15" s="16" t="str">
        <x:v>REPORTED (pre-change snapshot)</x:v>
      </x:c>
      <x:c r="E15" s="16" t="str">
        <x:v>Apple cached page / Reuters confirms ~21% increase</x:v>
      </x:c>
      <x:c r="F15" s="16" t="str">
        <x:v>Useful for price-change context</x:v>
      </x:c>
    </x:row>
    <x:row r="16">
      <x:c r="A16" s="16" t="str">
        <x:v>India price increase</x:v>
      </x:c>
      <x:c r="B16" s="111" t="n">
        <x:f>B6/B15-1</x:f>
        <x:v>0.2050663449939687</x:v>
      </x:c>
      <x:c r="C16" s="16" t="str">
        <x:v>%</x:v>
      </x:c>
      <x:c r="D16" s="16" t="str">
        <x:v>CALCULATED</x:v>
      </x:c>
      <x:c r="E16" s="16" t="str">
        <x:v>= current / previous - 1</x:v>
      </x:c>
      <x:c r="F16" s="16" t="str">
        <x:v>Recent pricing reset matters for storytelling</x:v>
      </x:c>
    </x:row>
    <x:row r="17">
      <x:c r="A17" s="16"/>
      <x:c r="B17" s="16"/>
      <x:c r="C17" s="16"/>
      <x:c r="D17" s="16"/>
      <x:c r="E17" s="16"/>
      <x:c r="F17" s="16"/>
    </x:row>
    <x:row r="18">
      <x:c r="A18" s="16"/>
      <x:c r="B18" s="16"/>
      <x:c r="C18" s="16"/>
      <x:c r="D18" s="16"/>
      <x:c r="E18" s="16"/>
      <x:c r="F18" s="16"/>
    </x:row>
  </x:sheetData>
  <x:mergeCells>
    <x:mergeCell ref="A1:F2"/>
    <x:mergeCell ref="A3:F3"/>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36" hidden="0" customWidth="1"/>
    <x:col min="3" max="3" width="30" hidden="0" customWidth="1"/>
    <x:col min="4" max="4" width="78" hidden="0" customWidth="1"/>
    <x:col min="5" max="5" width="18" hidden="0" customWidth="1"/>
    <x:col min="6" max="6" width="32" hidden="0" customWidth="1"/>
  </x:cols>
  <x:sheetData>
    <x:row r="1">
      <x:c r="A1" s="34" t="str">
        <x:v>Source Registry</x:v>
      </x:c>
      <x:c r="B1" s="34"/>
      <x:c r="C1" s="34"/>
      <x:c r="D1" s="34"/>
      <x:c r="E1" s="34"/>
      <x:c r="F1" s="34"/>
    </x:row>
    <x:row r="2">
      <x:c r="A2" s="34"/>
      <x:c r="B2" s="34"/>
      <x:c r="C2" s="34"/>
      <x:c r="D2" s="34"/>
      <x:c r="E2" s="34"/>
      <x:c r="F2" s="34"/>
    </x:row>
    <x:row r="3">
      <x:c r="A3" s="16"/>
      <x:c r="B3" s="16"/>
      <x:c r="C3" s="16"/>
      <x:c r="D3" s="16"/>
      <x:c r="E3" s="16"/>
      <x:c r="F3" s="16"/>
    </x:row>
    <x:row r="4">
      <x:c r="A4" s="171" t="str">
        <x:v>Source ID</x:v>
      </x:c>
      <x:c r="B4" s="171" t="str">
        <x:v>Topic</x:v>
      </x:c>
      <x:c r="C4" s="171" t="str">
        <x:v>Publisher</x:v>
      </x:c>
      <x:c r="D4" s="171" t="str">
        <x:v>URL</x:v>
      </x:c>
      <x:c r="E4" s="171" t="str">
        <x:v>Access/Snapshot</x:v>
      </x:c>
      <x:c r="F4" s="171" t="str">
        <x:v>Use in workbook</x:v>
      </x:c>
    </x:row>
    <x:row r="5">
      <x:c r="A5" s="16" t="str">
        <x:v>S01</x:v>
      </x:c>
      <x:c r="B5" s="16" t="str">
        <x:v>India current iPhone 17 price</x:v>
      </x:c>
      <x:c r="C5" s="16" t="str">
        <x:v>Apple India</x:v>
      </x:c>
      <x:c r="D5" s="16" t="str">
        <x:v>https://www.apple.com/in/shop/buy-iphone/iphone-17/6.3%22-display-256gb-white</x:v>
      </x:c>
      <x:c r="E5" s="16" t="str">
        <x:v>2026-09-11</x:v>
      </x:c>
      <x:c r="F5" s="16" t="str">
        <x:v>Country_Prices; India_Price_Build</x:v>
      </x:c>
    </x:row>
    <x:row r="6">
      <x:c r="A6" s="16" t="str">
        <x:v>S02</x:v>
      </x:c>
      <x:c r="B6" s="16" t="str">
        <x:v>US current iPhone 17 price</x:v>
      </x:c>
      <x:c r="C6" s="16" t="str">
        <x:v>Apple US</x:v>
      </x:c>
      <x:c r="D6" s="16" t="str">
        <x:v>https://www.apple.com/us/shop/buy-iphone/iphone-17</x:v>
      </x:c>
      <x:c r="E6" s="16" t="str">
        <x:v>2026-09-11</x:v>
      </x:c>
      <x:c r="F6" s="16" t="str">
        <x:v>Country_Prices; India_Price_Build</x:v>
      </x:c>
    </x:row>
    <x:row r="7">
      <x:c r="A7" s="16" t="str">
        <x:v>S03</x:v>
      </x:c>
      <x:c r="B7" s="16" t="str">
        <x:v>China current iPhone 17 price</x:v>
      </x:c>
      <x:c r="C7" s="16" t="str">
        <x:v>Apple China</x:v>
      </x:c>
      <x:c r="D7" s="16" t="str">
        <x:v>https://www.apple.com.cn/shop/buy-iphone/iphone-17</x:v>
      </x:c>
      <x:c r="E7" s="16" t="str">
        <x:v>2026-09-11</x:v>
      </x:c>
      <x:c r="F7" s="16" t="str">
        <x:v>Country_Prices</x:v>
      </x:c>
    </x:row>
    <x:row r="8">
      <x:c r="A8" s="16" t="str">
        <x:v>S04</x:v>
      </x:c>
      <x:c r="B8" s="16" t="str">
        <x:v>Japan current iPhone 17 price</x:v>
      </x:c>
      <x:c r="C8" s="16" t="str">
        <x:v>Apple Japan</x:v>
      </x:c>
      <x:c r="D8" s="16" t="str">
        <x:v>https://www.apple.com/jp/shop/buy-iphone/iphone-17</x:v>
      </x:c>
      <x:c r="E8" s="16" t="str">
        <x:v>2026-09-11</x:v>
      </x:c>
      <x:c r="F8" s="16" t="str">
        <x:v>Country_Prices</x:v>
      </x:c>
    </x:row>
    <x:row r="9">
      <x:c r="A9" s="16" t="str">
        <x:v>S05</x:v>
      </x:c>
      <x:c r="B9" s="16" t="str">
        <x:v>UAE current iPhone 17 price</x:v>
      </x:c>
      <x:c r="C9" s="16" t="str">
        <x:v>Apple UAE</x:v>
      </x:c>
      <x:c r="D9" s="16" t="str">
        <x:v>https://www.apple.com/ae/shop/buy-iphone/iphone-17</x:v>
      </x:c>
      <x:c r="E9" s="16" t="str">
        <x:v>2026-09-11</x:v>
      </x:c>
      <x:c r="F9" s="16" t="str">
        <x:v>Country_Prices</x:v>
      </x:c>
    </x:row>
    <x:row r="10">
      <x:c r="A10" s="16" t="str">
        <x:v>S06</x:v>
      </x:c>
      <x:c r="B10" s="16" t="str">
        <x:v>Singapore current iPhone 17 price</x:v>
      </x:c>
      <x:c r="C10" s="16" t="str">
        <x:v>Apple Singapore</x:v>
      </x:c>
      <x:c r="D10" s="16" t="str">
        <x:v>https://www.apple.com/sg/shop/buy-iphone/iphone-17</x:v>
      </x:c>
      <x:c r="E10" s="16" t="str">
        <x:v>2026-09-11</x:v>
      </x:c>
      <x:c r="F10" s="16" t="str">
        <x:v>Country_Prices</x:v>
      </x:c>
    </x:row>
    <x:row r="11">
      <x:c r="A11" s="16" t="str">
        <x:v>S07</x:v>
      </x:c>
      <x:c r="B11" s="16" t="str">
        <x:v>UK current iPhone 17 price</x:v>
      </x:c>
      <x:c r="C11" s="16" t="str">
        <x:v>Apple UK</x:v>
      </x:c>
      <x:c r="D11" s="16" t="str">
        <x:v>https://www.apple.com/uk/shop/buy-iphone/iphone-17</x:v>
      </x:c>
      <x:c r="E11" s="16" t="str">
        <x:v>2026-09-11</x:v>
      </x:c>
      <x:c r="F11" s="16" t="str">
        <x:v>Country_Prices</x:v>
      </x:c>
    </x:row>
    <x:row r="12">
      <x:c r="A12" s="16" t="str">
        <x:v>S08</x:v>
      </x:c>
      <x:c r="B12" s="16" t="str">
        <x:v>Germany current iPhone 17 price</x:v>
      </x:c>
      <x:c r="C12" s="16" t="str">
        <x:v>Apple Germany</x:v>
      </x:c>
      <x:c r="D12" s="16" t="str">
        <x:v>https://www.apple.com/de/shop/buy-iphone/iphone-17</x:v>
      </x:c>
      <x:c r="E12" s="16" t="str">
        <x:v>2026-09-11</x:v>
      </x:c>
      <x:c r="F12" s="16" t="str">
        <x:v>Country_Prices</x:v>
      </x:c>
    </x:row>
    <x:row r="13">
      <x:c r="A13" s="16" t="str">
        <x:v>S09</x:v>
      </x:c>
      <x:c r="B13" s="16" t="str">
        <x:v>Brazil current iPhone 17 price</x:v>
      </x:c>
      <x:c r="C13" s="16" t="str">
        <x:v>Apple Brazil</x:v>
      </x:c>
      <x:c r="D13" s="16" t="str">
        <x:v>https://www.apple.com/br/shop/buy-iphone/iphone-17</x:v>
      </x:c>
      <x:c r="E13" s="16" t="str">
        <x:v>2026-09-11</x:v>
      </x:c>
      <x:c r="F13" s="16" t="str">
        <x:v>Country_Prices</x:v>
      </x:c>
    </x:row>
    <x:row r="14">
      <x:c r="A14" s="16" t="str">
        <x:v>S10</x:v>
      </x:c>
      <x:c r="B14" s="16" t="str">
        <x:v>Türkiye current iPhone 17 price</x:v>
      </x:c>
      <x:c r="C14" s="16" t="str">
        <x:v>Apple Türkiye</x:v>
      </x:c>
      <x:c r="D14" s="16" t="str">
        <x:v>https://www.apple.com/tr/shop/buy-iphone/iphone-17</x:v>
      </x:c>
      <x:c r="E14" s="16" t="str">
        <x:v>2026-09-11</x:v>
      </x:c>
      <x:c r="F14" s="16" t="str">
        <x:v>Country_Prices</x:v>
      </x:c>
    </x:row>
    <x:row r="15">
      <x:c r="A15" s="16" t="str">
        <x:v>S11</x:v>
      </x:c>
      <x:c r="B15" s="16" t="str">
        <x:v>Canada current iPhone 17 price</x:v>
      </x:c>
      <x:c r="C15" s="16" t="str">
        <x:v>Apple Canada</x:v>
      </x:c>
      <x:c r="D15" s="16" t="str">
        <x:v>https://www.apple.com/ca/shop/buy-iphone/iphone-17</x:v>
      </x:c>
      <x:c r="E15" s="16" t="str">
        <x:v>2026-09-11</x:v>
      </x:c>
      <x:c r="F15" s="16" t="str">
        <x:v>Country_Prices</x:v>
      </x:c>
    </x:row>
    <x:row r="16">
      <x:c r="A16" s="16" t="str">
        <x:v>S12</x:v>
      </x:c>
      <x:c r="B16" s="16" t="str">
        <x:v>Australia current iPhone 17 price</x:v>
      </x:c>
      <x:c r="C16" s="16" t="str">
        <x:v>Apple Australia</x:v>
      </x:c>
      <x:c r="D16" s="16" t="str">
        <x:v>https://www.apple.com/au/shop/buy-iphone/iphone-17</x:v>
      </x:c>
      <x:c r="E16" s="16" t="str">
        <x:v>2026-09-11</x:v>
      </x:c>
      <x:c r="F16" s="16" t="str">
        <x:v>Country_Prices</x:v>
      </x:c>
    </x:row>
    <x:row r="17">
      <x:c r="A17" s="16" t="str">
        <x:v>S13</x:v>
      </x:c>
      <x:c r="B17" s="16" t="str">
        <x:v>Hong Kong current iPhone 17 price</x:v>
      </x:c>
      <x:c r="C17" s="16" t="str">
        <x:v>Apple Hong Kong</x:v>
      </x:c>
      <x:c r="D17" s="16" t="str">
        <x:v>https://www.apple.com/hk/shop/buy-iphone/iphone-17</x:v>
      </x:c>
      <x:c r="E17" s="16" t="str">
        <x:v>2026-09-11</x:v>
      </x:c>
      <x:c r="F17" s="16" t="str">
        <x:v>Country_Prices</x:v>
      </x:c>
    </x:row>
    <x:row r="18">
      <x:c r="A18" s="16" t="str">
        <x:v>S14</x:v>
      </x:c>
      <x:c r="B18" s="16" t="str">
        <x:v>ECB FX reference rates</x:v>
      </x:c>
      <x:c r="C18" s="16" t="str">
        <x:v>European Central Bank</x:v>
      </x:c>
      <x:c r="D18" s="16" t="str">
        <x:v>https://www.ecb.europa.eu/stats/policy_and_exchange_rates/euro_reference_exchange_rates/html/index.en.html</x:v>
      </x:c>
      <x:c r="E18" s="16" t="str">
        <x:v>2026-09-10</x:v>
      </x:c>
      <x:c r="F18" s="16" t="str">
        <x:v>FX_Rates</x:v>
      </x:c>
    </x:row>
    <x:row r="19">
      <x:c r="A19" s="16" t="str">
        <x:v>S15</x:v>
      </x:c>
      <x:c r="B19" s="16" t="str">
        <x:v>AED/USD official peg</x:v>
      </x:c>
      <x:c r="C19" s="16" t="str">
        <x:v>UAE Government / CBUAE</x:v>
      </x:c>
      <x:c r="D19" s="16" t="str">
        <x:v>https://u.ae/en/about-the-uae/fact-sheet</x:v>
      </x:c>
      <x:c r="E19" s="16" t="str">
        <x:v>current</x:v>
      </x:c>
      <x:c r="F19" s="16" t="str">
        <x:v>FX_Rates</x:v>
      </x:c>
    </x:row>
    <x:row r="20">
      <x:c r="A20" s="16" t="str">
        <x:v>S16</x:v>
      </x:c>
      <x:c r="B20" s="16" t="str">
        <x:v>India Apple pricing / GST-inclusive policy</x:v>
      </x:c>
      <x:c r="C20" s="16" t="str">
        <x:v>Apple India</x:v>
      </x:c>
      <x:c r="D20" s="16" t="str">
        <x:v>https://www.apple.com/in/shop/help/payments</x:v>
      </x:c>
      <x:c r="E20" s="16" t="str">
        <x:v>2026-09-11</x:v>
      </x:c>
      <x:c r="F20" s="16" t="str">
        <x:v>India_Price_Build</x:v>
      </x:c>
    </x:row>
    <x:row r="21">
      <x:c r="A21" s="16" t="str">
        <x:v>S21</x:v>
      </x:c>
      <x:c r="B21" s="16" t="str">
        <x:v>Household consumption expenditure per capita, PPP</x:v>
      </x:c>
      <x:c r="C21" s="16" t="str">
        <x:v>World Bank WDI</x:v>
      </x:c>
      <x:c r="D21" s="16" t="str">
        <x:v>https://data.worldbank.org/indicator/NE.CON.PCAP.PP.CD</x:v>
      </x:c>
      <x:c r="E21" s="16" t="str">
        <x:v>latest available / 2024 core sample</x:v>
      </x:c>
      <x:c r="F21" s="16" t="str">
        <x:v>Consumer_Affordability</x:v>
      </x:c>
    </x:row>
    <x:row r="22">
      <x:c r="A22" s="16" t="str">
        <x:v>S22</x:v>
      </x:c>
      <x:c r="B22" s="16" t="str">
        <x:v>UK standard VAT rate</x:v>
      </x:c>
      <x:c r="C22" s="16" t="str">
        <x:v>GOV.UK</x:v>
      </x:c>
      <x:c r="D22" s="16" t="str">
        <x:v>https://www.gov.uk/vat-rates</x:v>
      </x:c>
      <x:c r="E22" s="16" t="str">
        <x:v>current</x:v>
      </x:c>
      <x:c r="F22" s="16" t="str">
        <x:v>Tax_Normalization</x:v>
      </x:c>
    </x:row>
    <x:row r="23">
      <x:c r="A23" s="16" t="str">
        <x:v>S23</x:v>
      </x:c>
      <x:c r="B23" s="16" t="str">
        <x:v>Singapore standard GST rate</x:v>
      </x:c>
      <x:c r="C23" s="16" t="str">
        <x:v>IRAS</x:v>
      </x:c>
      <x:c r="D23" s="16" t="str">
        <x:v>https://www.iras.gov.sg/taxes/goods-services-tax-(gst)/basics-of-gst/current-gst-rates</x:v>
      </x:c>
      <x:c r="E23" s="16" t="str">
        <x:v>current</x:v>
      </x:c>
      <x:c r="F23" s="16" t="str">
        <x:v>Tax_Normalization</x:v>
      </x:c>
    </x:row>
    <x:row r="24">
      <x:c r="A24" s="16" t="str">
        <x:v>S24</x:v>
      </x:c>
      <x:c r="B24" s="16" t="str">
        <x:v>UAE standard VAT rate</x:v>
      </x:c>
      <x:c r="C24" s="16" t="str">
        <x:v>UAE Government</x:v>
      </x:c>
      <x:c r="D24" s="16" t="str">
        <x:v>https://u.ae/en/information-and-services/finance-and-investment/taxation/valueaddedtaxvat</x:v>
      </x:c>
      <x:c r="E24" s="16" t="str">
        <x:v>current</x:v>
      </x:c>
      <x:c r="F24" s="16" t="str">
        <x:v>Tax_Normalization</x:v>
      </x:c>
    </x:row>
    <x:row r="25">
      <x:c r="A25" s="16" t="str">
        <x:v>S25</x:v>
      </x:c>
      <x:c r="B25" s="16" t="str">
        <x:v>Japan consumption tax</x:v>
      </x:c>
      <x:c r="C25" s="16" t="str">
        <x:v>Japan Ministry of Finance</x:v>
      </x:c>
      <x:c r="D25" s="16" t="str">
        <x:v>https://www.mof.go.jp/english/policy/tax_policy/tax_system/consumption/index.html</x:v>
      </x:c>
      <x:c r="E25" s="16" t="str">
        <x:v>current</x:v>
      </x:c>
      <x:c r="F25" s="16" t="str">
        <x:v>Tax_Normalization</x:v>
      </x:c>
    </x:row>
    <x:row r="26">
      <x:c r="A26" s="16" t="str">
        <x:v>S26</x:v>
      </x:c>
      <x:c r="B26" s="16" t="str">
        <x:v>Germany standard VAT rate</x:v>
      </x:c>
      <x:c r="C26" s="16" t="str">
        <x:v>German Federal law / VAT Act</x:v>
      </x:c>
      <x:c r="D26" s="16" t="str">
        <x:v>https://www.gesetze-im-internet.de/ustg_1980/__12.html</x:v>
      </x:c>
      <x:c r="E26" s="16" t="str">
        <x:v>current</x:v>
      </x:c>
      <x:c r="F26" s="16" t="str">
        <x:v>Tax_Normalization</x:v>
      </x:c>
    </x:row>
    <x:row r="27">
      <x:c r="A27" s="16" t="str">
        <x:v>S27</x:v>
      </x:c>
      <x:c r="B27" s="16" t="str">
        <x:v>China VAT context</x:v>
      </x:c>
      <x:c r="C27" s="16" t="str">
        <x:v>State Taxation Administration of China</x:v>
      </x:c>
      <x:c r="D27" s="16" t="str">
        <x:v>https://www.chinatax.gov.cn/eng/</x:v>
      </x:c>
      <x:c r="E27" s="16" t="str">
        <x:v>current</x:v>
      </x:c>
      <x:c r="F27" s="16" t="str">
        <x:v>Tax_Normalization</x:v>
      </x:c>
    </x:row>
    <x:row r="28">
      <x:c r="A28" s="16" t="str">
        <x:v>S28</x:v>
      </x:c>
      <x:c r="B28" s="16" t="str">
        <x:v>Türkiye VAT context</x:v>
      </x:c>
      <x:c r="C28" s="16" t="str">
        <x:v>Revenue Administration, Türkiye</x:v>
      </x:c>
      <x:c r="D28" s="16" t="str">
        <x:v>https://www.gib.gov.tr/</x:v>
      </x:c>
      <x:c r="E28" s="16" t="str">
        <x:v>current</x:v>
      </x:c>
      <x:c r="F28" s="16" t="str">
        <x:v>Tax_Normalization</x:v>
      </x:c>
    </x:row>
    <x:row r="29">
      <x:c r="A29" s="16" t="str">
        <x:v>S29</x:v>
      </x:c>
      <x:c r="B29" s="16" t="str">
        <x:v>FY23 India iPhone production &gt;$7B</x:v>
      </x:c>
      <x:c r="C29" s="16" t="str">
        <x:v>Reuters / syndicated reporting</x:v>
      </x:c>
      <x:c r="D29" s="16" t="str">
        <x:v>https://indianexpress.com/article/technology/tech-news-technology/apple-iphone-production-india-7-billion-8554152/</x:v>
      </x:c>
      <x:c r="E29" s="16" t="str">
        <x:v>2023</x:v>
      </x:c>
      <x:c r="F29" s="16" t="str">
        <x:v>India_Timeline</x:v>
      </x:c>
    </x:row>
    <x:row r="30">
      <x:c r="A30" s="16" t="str">
        <x:v>S30</x:v>
      </x:c>
      <x:c r="B30" s="16" t="str">
        <x:v>FY24 India iPhone production ~$14B</x:v>
      </x:c>
      <x:c r="C30" s="16" t="str">
        <x:v>Reuters / Business Standard</x:v>
      </x:c>
      <x:c r="D30" s="16" t="str">
        <x:v>https://www.business-standard.com/companies/news/apple-assembles-14-bn-worth-of-iphones-in-india-124041100123_1.html</x:v>
      </x:c>
      <x:c r="E30" s="16" t="str">
        <x:v>2024</x:v>
      </x:c>
      <x:c r="F30" s="16" t="str">
        <x:v>India_Timeline</x:v>
      </x:c>
    </x:row>
    <x:row r="31">
      <x:c r="A31" t="str">
        <x:v>S31</x:v>
      </x:c>
      <x:c r="B31" t="str">
        <x:v>FY25 India iPhone production ~$22B</x:v>
      </x:c>
      <x:c r="C31" t="str">
        <x:v>Bloomberg / Business Standard</x:v>
      </x:c>
      <x:c r="D31" t="str">
        <x:v>https://www.business-standard.com/companies/news/apple-iphone-production-india-fy25-22-billion-125041300245_1.html</x:v>
      </x:c>
      <x:c r="E31" t="str">
        <x:v>2025</x:v>
      </x:c>
      <x:c r="F31" t="str">
        <x:v>India_Timeline</x:v>
      </x:c>
    </x:row>
    <x:row r="32">
      <x:c r="A32" t="str">
        <x:v>S32</x:v>
      </x:c>
      <x:c r="B32" t="str">
        <x:v>iPhone 17 India launch price ₹82,900</x:v>
      </x:c>
      <x:c r="C32" t="str">
        <x:v>Apple India</x:v>
      </x:c>
      <x:c r="D32" t="str">
        <x:v>https://www.apple.com/in/newsroom/2025/09/apple-debuts-iphone-17/</x:v>
      </x:c>
      <x:c r="E32" t="str">
        <x:v>2025</x:v>
      </x:c>
      <x:c r="F32" t="str">
        <x:v>India_Timeline</x:v>
      </x:c>
    </x:row>
    <x:row r="33">
      <x:c r="A33" t="str">
        <x:v>S33</x:v>
      </x:c>
      <x:c r="B33" t="str">
        <x:v>iPhone 16 India launch price ₹79,900</x:v>
      </x:c>
      <x:c r="C33" t="str">
        <x:v>Apple India</x:v>
      </x:c>
      <x:c r="D33" t="str">
        <x:v>https://www.apple.com/in/newsroom/2024/09/apple-introduces-iphone-16-and-iphone-16-plus/</x:v>
      </x:c>
      <x:c r="E33" t="str">
        <x:v>2024</x:v>
      </x:c>
      <x:c r="F33" t="str">
        <x:v>India_Timeline</x:v>
      </x:c>
    </x:row>
    <x:row r="34">
      <x:c r="A34" t="str">
        <x:v>S34</x:v>
      </x:c>
      <x:c r="B34" t="str">
        <x:v>iPhone 15 India launch price ₹79,900</x:v>
      </x:c>
      <x:c r="C34" t="str">
        <x:v>Apple India</x:v>
      </x:c>
      <x:c r="D34" t="str">
        <x:v>https://www.apple.com/in/newsroom/2023/09/apple-debuts-iphone-15-and-iphone-15-plus/</x:v>
      </x:c>
      <x:c r="E34" t="str">
        <x:v>2023</x:v>
      </x:c>
      <x:c r="F34" t="str">
        <x:v>India_Timeline</x:v>
      </x:c>
    </x:row>
    <x:row r="35">
      <x:c r="A35" t="str">
        <x:v>S35</x:v>
      </x:c>
      <x:c r="B35" t="str">
        <x:v>iPhone 14 India launch price ₹79,900</x:v>
      </x:c>
      <x:c r="C35" t="str">
        <x:v>Apple India</x:v>
      </x:c>
      <x:c r="D35" t="str">
        <x:v>https://www.apple.com/in/newsroom/2022/09/apple-introduces-iphone-14-and-iphone-14-plus/</x:v>
      </x:c>
      <x:c r="E35" t="str">
        <x:v>2022</x:v>
      </x:c>
      <x:c r="F35" t="str">
        <x:v>India_Timeline</x:v>
      </x:c>
    </x:row>
    <x:row r="36">
      <x:c r="A36" t="str">
        <x:v>S36</x:v>
      </x:c>
      <x:c r="B36" t="str">
        <x:v>iPhone 13 India launch price ₹79,900</x:v>
      </x:c>
      <x:c r="C36" t="str">
        <x:v>Apple India</x:v>
      </x:c>
      <x:c r="D36" t="str">
        <x:v>https://www.apple.com/in/newsroom/2021/09/apple-introduces-iphone-13-and-iphone-13-mini/</x:v>
      </x:c>
      <x:c r="E36" t="str">
        <x:v>2021</x:v>
      </x:c>
      <x:c r="F36" t="str">
        <x:v>India_Timeline</x:v>
      </x:c>
    </x:row>
    <x:row r="37">
      <x:c r="A37" t="str">
        <x:v>S37</x:v>
      </x:c>
      <x:c r="B37" t="str">
        <x:v>India iPhone 17 256GB purchase price</x:v>
      </x:c>
      <x:c r="C37" t="str">
        <x:v>Apple India / workbook link</x:v>
      </x:c>
      <x:c r="D37" t="str">
        <x:v>https://www.apple.com/in/shop/buy-iphone/iphone-17/6.3%22-display-256gb-white</x:v>
      </x:c>
      <x:c r="E37" t="str">
        <x:v>2026-09-11</x:v>
      </x:c>
      <x:c r="F37" t="str">
        <x:v>TCO_Model</x:v>
      </x:c>
    </x:row>
    <x:row r="38">
      <x:c r="A38" t="str">
        <x:v>S38</x:v>
      </x:c>
      <x:c r="B38" t="str">
        <x:v>TCO resale/financing/repair assumptions</x:v>
      </x:c>
      <x:c r="C38" t="str">
        <x:v>Internal scenario model</x:v>
      </x:c>
      <x:c r="D38" t="str">
        <x:v>MODELED — no external source</x:v>
      </x:c>
      <x:c r="E38" t="str">
        <x:v>2026-09-11</x:v>
      </x:c>
      <x:c r="F38" t="str">
        <x:v>TCO_Model</x:v>
      </x:c>
    </x:row>
    <x:row r="39">
      <x:c r="A39" t="str">
        <x:v>S39</x:v>
      </x:c>
      <x:c r="B39" t="str">
        <x:v>Galaxy S26 256GB India official price</x:v>
      </x:c>
      <x:c r="C39" t="str">
        <x:v>Samsung Newsroom India</x:v>
      </x:c>
      <x:c r="D39" t="str">
        <x:v>https://news.samsung.com/in/samsung-india-launches-its-most-advanced-ai-phone-the-galaxy-s26-series-pre-order-now-for-exciting-offers</x:v>
      </x:c>
      <x:c r="E39" t="str">
        <x:v>2026-02-26</x:v>
      </x:c>
      <x:c r="F39" t="str">
        <x:v>Android_Comparison</x:v>
      </x:c>
    </x:row>
    <x:row r="40">
      <x:c r="A40" t="str">
        <x:v>S40</x:v>
      </x:c>
      <x:c r="B40" t="str">
        <x:v>Galaxy S26 current product page / storage confirmation</x:v>
      </x:c>
      <x:c r="C40" t="str">
        <x:v>Samsung India</x:v>
      </x:c>
      <x:c r="D40" t="str">
        <x:v>https://www.samsung.com/in/smartphones/galaxy-s26/buy/</x:v>
      </x:c>
      <x:c r="E40" t="str">
        <x:v>2026-09-11</x:v>
      </x:c>
      <x:c r="F40" t="str">
        <x:v>Android_Comparison</x:v>
      </x:c>
    </x:row>
  </x:sheetData>
  <x:mergeCells>
    <x:mergeCell ref="A1:F2"/>
  </x:mergeCells>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58" hidden="0" customWidth="1"/>
    <x:col min="3" max="3" width="4" hidden="0" customWidth="1"/>
    <x:col min="4" max="4" width="28" hidden="0" customWidth="1"/>
    <x:col min="5" max="5" width="18" hidden="0" customWidth="1"/>
    <x:col min="6" max="6" width="4" hidden="0" customWidth="1"/>
    <x:col min="7" max="7" width="26" hidden="0" customWidth="1"/>
    <x:col min="8" max="8" width="18" hidden="0" customWidth="1"/>
    <x:col min="9" max="9" width="16" hidden="0" customWidth="1"/>
    <x:col min="10" max="10" width="14" hidden="0" customWidth="1"/>
    <x:col min="11" max="11" width="14" hidden="0" customWidth="1"/>
    <x:col min="12" max="12" width="14" hidden="0" customWidth="1"/>
  </x:cols>
  <x:sheetData>
    <x:row r="1">
      <x:c r="A1" s="149" t="str">
        <x:v>Made in India. Priced for India? — Evidence Upgrade</x:v>
      </x:c>
      <x:c r="B1" s="149" t="str">
        <x:v>Made in India. Priced for India? — Evidence Upgrade</x:v>
      </x:c>
      <x:c r="C1" s="149" t="str">
        <x:v>Made in India. Priced for India? — Evidence Upgrade</x:v>
      </x:c>
      <x:c r="D1" s="149" t="str">
        <x:v>Made in India. Priced for India? — Evidence Upgrade</x:v>
      </x:c>
      <x:c r="E1" s="149" t="str">
        <x:v>Made in India. Priced for India? — Evidence Upgrade</x:v>
      </x:c>
      <x:c r="F1" s="149" t="str">
        <x:v>Made in India. Priced for India? — Evidence Upgrade</x:v>
      </x:c>
      <x:c r="G1" s="149" t="str">
        <x:v>Made in India. Priced for India? — Evidence Upgrade</x:v>
      </x:c>
      <x:c r="H1" s="149" t="str">
        <x:v>Made in India. Priced for India? — Evidence Upgrade</x:v>
      </x:c>
      <x:c r="I1" s="34"/>
      <x:c r="J1" s="34"/>
      <x:c r="K1" s="34"/>
      <x:c r="L1" s="34"/>
    </x:row>
    <x:row r="2">
      <x:c r="A2" s="34"/>
      <x:c r="B2" s="34"/>
      <x:c r="C2" s="34"/>
      <x:c r="D2" s="34"/>
      <x:c r="E2" s="34"/>
      <x:c r="F2" s="34"/>
      <x:c r="G2" s="34"/>
      <x:c r="H2" s="34"/>
      <x:c r="I2" s="34"/>
      <x:c r="J2" s="34"/>
      <x:c r="K2" s="34"/>
      <x:c r="L2" s="34"/>
    </x:row>
    <x:row r="3">
      <x:c r="A3" s="142" t="str">
        <x:v>India listed price (USD)</x:v>
      </x:c>
      <x:c r="B3" s="142" t="str"/>
      <x:c r="C3" s="142" t="str"/>
      <x:c r="D3" s="142" t="str">
        <x:v>India premium vs US</x:v>
      </x:c>
      <x:c r="E3" s="142" t="str"/>
      <x:c r="F3" s="142" t="str"/>
      <x:c r="G3" s="142" t="str">
        <x:v>India PPP burden proxy</x:v>
      </x:c>
      <x:c r="H3" s="142" t="str"/>
      <x:c r="I3" s="142" t="str"/>
      <x:c r="J3" s="16"/>
      <x:c r="K3" s="16"/>
      <x:c r="L3" s="16"/>
    </x:row>
    <x:row r="4">
      <x:c r="A4" s="143" t="n">
        <x:f>'Country_Prices'!G7</x:f>
        <x:v>1046.7177500462276</x:v>
      </x:c>
      <x:c r="B4" s="144"/>
      <x:c r="C4" s="144"/>
      <x:c r="D4" s="145" t="n">
        <x:f>'Country_Prices'!H7</x:f>
        <x:v>0.12671447798302227</x:v>
      </x:c>
      <x:c r="E4" s="144"/>
      <x:c r="F4" s="144"/>
      <x:c r="G4" s="145" t="n">
        <x:f>'Affordability'!D7</x:f>
        <x:v>0.08878766223142145</x:v>
      </x:c>
      <x:c r="H4" s="144"/>
      <x:c r="I4" s="144"/>
      <x:c r="J4" s="16"/>
      <x:c r="K4" s="16"/>
      <x:c r="L4" s="16"/>
    </x:row>
    <x:row r="5">
      <x:c r="A5" s="144"/>
      <x:c r="B5" s="144"/>
      <x:c r="C5" s="144"/>
      <x:c r="D5" s="144"/>
      <x:c r="E5" s="144"/>
      <x:c r="F5" s="144"/>
      <x:c r="G5" s="144"/>
      <x:c r="H5" s="144"/>
      <x:c r="I5" s="144"/>
      <x:c r="J5" s="16"/>
      <x:c r="K5" s="16"/>
      <x:c r="L5" s="16"/>
    </x:row>
    <x:row r="6">
      <x:c r="A6" s="144"/>
      <x:c r="B6" s="144"/>
      <x:c r="C6" s="144"/>
      <x:c r="D6" s="144"/>
      <x:c r="E6" s="144"/>
      <x:c r="F6" s="144"/>
      <x:c r="G6" s="144"/>
      <x:c r="H6" s="144"/>
      <x:c r="I6" s="144"/>
      <x:c r="J6" s="16"/>
      <x:c r="K6" s="16"/>
      <x:c r="L6" s="16"/>
    </x:row>
    <x:row r="7">
      <x:c r="A7" s="142" t="str">
        <x:v>FY26 India iPhone production</x:v>
      </x:c>
      <x:c r="B7" s="142" t="str"/>
      <x:c r="C7" s="142" t="str"/>
      <x:c r="D7" s="142" t="str">
        <x:v>FY26 export share</x:v>
      </x:c>
      <x:c r="E7" s="142" t="str"/>
      <x:c r="F7" s="142" t="str"/>
      <x:c r="G7" s="142" t="str">
        <x:v>Apple India value-addition avg</x:v>
      </x:c>
      <x:c r="H7" s="142" t="str"/>
      <x:c r="I7" s="142" t="str"/>
      <x:c r="J7" s="16"/>
      <x:c r="K7" s="16"/>
      <x:c r="L7" s="16"/>
    </x:row>
    <x:row r="8">
      <x:c r="A8" s="146" t="n">
        <x:f>'India_Manufacturing'!C5</x:f>
        <x:v>26</x:v>
      </x:c>
      <x:c r="B8" s="144"/>
      <x:c r="C8" s="144"/>
      <x:c r="D8" s="145" t="n">
        <x:f>'India_Manufacturing'!C7</x:f>
        <x:v>0.83</x:v>
      </x:c>
      <x:c r="E8" s="144"/>
      <x:c r="F8" s="144"/>
      <x:c r="G8" s="145" t="n">
        <x:f>'India_Manufacturing'!C8</x:f>
        <x:v>0.145</x:v>
      </x:c>
      <x:c r="H8" s="144"/>
      <x:c r="I8" s="144"/>
      <x:c r="J8" s="16"/>
      <x:c r="K8" s="16"/>
      <x:c r="L8" s="16"/>
    </x:row>
    <x:row r="9">
      <x:c r="A9" s="144"/>
      <x:c r="B9" s="144"/>
      <x:c r="C9" s="144"/>
      <x:c r="D9" s="144"/>
      <x:c r="E9" s="144"/>
      <x:c r="F9" s="144"/>
      <x:c r="G9" s="144"/>
      <x:c r="H9" s="144"/>
      <x:c r="I9" s="144"/>
      <x:c r="J9" s="16"/>
      <x:c r="K9" s="16"/>
      <x:c r="L9" s="16"/>
    </x:row>
    <x:row r="10">
      <x:c r="A10" s="144"/>
      <x:c r="B10" s="144"/>
      <x:c r="C10" s="144"/>
      <x:c r="D10" s="144"/>
      <x:c r="E10" s="144"/>
      <x:c r="F10" s="144"/>
      <x:c r="G10" s="144"/>
      <x:c r="H10" s="144"/>
      <x:c r="I10" s="144"/>
      <x:c r="J10" s="16"/>
      <x:c r="K10" s="16"/>
      <x:c r="L10" s="16"/>
    </x:row>
    <x:row r="11">
      <x:c r="A11" s="16"/>
      <x:c r="B11" s="16"/>
      <x:c r="C11" s="16"/>
      <x:c r="D11" s="16"/>
      <x:c r="E11" s="16"/>
      <x:c r="F11" s="16"/>
      <x:c r="G11" s="16"/>
      <x:c r="H11" s="16"/>
      <x:c r="I11" s="16"/>
      <x:c r="J11" s="16"/>
      <x:c r="K11" s="16"/>
      <x:c r="L11" s="16"/>
    </x:row>
    <x:row r="12">
      <x:c r="A12" s="136" t="str">
        <x:v>Key read: India's current listed-price premium versus the US is real, but a simple GST bridge removes much of that gap in this snapshot. The deeper story is not 'India makes iPhones but gets no benefit'; it is that assembly scale, export orientation, imported inputs, taxes, FX, and Apple's market pricing are different layers that must be separated.</x:v>
      </x:c>
      <x:c r="B12" s="136"/>
      <x:c r="C12" s="136"/>
      <x:c r="D12" s="136"/>
      <x:c r="E12" s="136"/>
      <x:c r="F12" s="136"/>
      <x:c r="G12" s="136"/>
      <x:c r="H12" s="136"/>
      <x:c r="I12" s="136"/>
      <x:c r="J12" s="136"/>
      <x:c r="K12" s="136"/>
      <x:c r="L12" s="136"/>
    </x:row>
    <x:row r="13">
      <x:c r="A13" s="136"/>
      <x:c r="B13" s="136"/>
      <x:c r="C13" s="136"/>
      <x:c r="D13" s="136"/>
      <x:c r="E13" s="136"/>
      <x:c r="F13" s="136"/>
      <x:c r="G13" s="136"/>
      <x:c r="H13" s="136"/>
      <x:c r="I13" s="136"/>
      <x:c r="J13" s="136"/>
      <x:c r="K13" s="136"/>
      <x:c r="L13" s="136"/>
    </x:row>
    <x:row r="14">
      <x:c r="A14" s="136"/>
      <x:c r="B14" s="136"/>
      <x:c r="C14" s="136"/>
      <x:c r="D14" s="136"/>
      <x:c r="E14" s="136"/>
      <x:c r="F14" s="136"/>
      <x:c r="G14" s="136"/>
      <x:c r="H14" s="136"/>
      <x:c r="I14" s="136"/>
      <x:c r="J14" s="136"/>
      <x:c r="K14" s="136"/>
      <x:c r="L14" s="136"/>
    </x:row>
    <x:row r="15">
      <x:c r="A15" s="16"/>
      <x:c r="B15" s="16"/>
      <x:c r="C15" s="16"/>
      <x:c r="D15" s="16"/>
      <x:c r="E15" s="16"/>
      <x:c r="F15" s="16"/>
      <x:c r="G15" s="16"/>
      <x:c r="H15" s="16"/>
      <x:c r="I15" s="16"/>
      <x:c r="J15" s="16"/>
      <x:c r="K15" s="16"/>
      <x:c r="L15" s="16"/>
    </x:row>
    <x:row r="16">
      <x:c r="A16" s="16"/>
      <x:c r="B16" s="16"/>
      <x:c r="C16" s="16"/>
      <x:c r="D16" s="16"/>
      <x:c r="E16" s="16"/>
      <x:c r="F16" s="16"/>
      <x:c r="G16" s="16"/>
      <x:c r="H16" s="16"/>
      <x:c r="I16" s="16"/>
      <x:c r="J16" s="16"/>
      <x:c r="K16" s="16"/>
      <x:c r="L16" s="16"/>
    </x:row>
    <x:row r="17">
      <x:c r="A17" s="21" t="str">
        <x:v>Country</x:v>
      </x:c>
      <x:c r="B17" s="21" t="str">
        <x:v>iPhone 17 256GB (USD)</x:v>
      </x:c>
      <x:c r="C17" s="16"/>
      <x:c r="D17" s="21" t="str">
        <x:v>Country</x:v>
      </x:c>
      <x:c r="E17" s="21" t="str">
        <x:v>PPP burden proxy</x:v>
      </x:c>
      <x:c r="F17" s="16"/>
      <x:c r="G17" s="16"/>
      <x:c r="H17" s="16"/>
      <x:c r="I17" s="16"/>
      <x:c r="J17" s="16"/>
      <x:c r="K17" s="16"/>
      <x:c r="L17" s="16"/>
    </x:row>
    <x:row r="18">
      <x:c r="A18" s="16" t="str">
        <x:f>'Country_Prices'!A6</x:f>
        <x:v>United States</x:v>
      </x:c>
      <x:c r="B18" s="147" t="n">
        <x:f>'Country_Prices'!G6</x:f>
        <x:v>929</x:v>
      </x:c>
      <x:c r="C18" s="16"/>
      <x:c r="D18" s="16" t="str">
        <x:f>'Affordability'!A6</x:f>
        <x:v>United States</x:v>
      </x:c>
      <x:c r="E18" s="80" t="n">
        <x:f>'Affordability'!D6</x:f>
        <x:v>0.01032325454767699</x:v>
      </x:c>
      <x:c r="F18" s="16"/>
      <x:c r="G18" s="16"/>
      <x:c r="H18" s="16"/>
      <x:c r="I18" s="16"/>
      <x:c r="J18" s="16"/>
      <x:c r="K18" s="16"/>
      <x:c r="L18" s="16"/>
    </x:row>
    <x:row r="19">
      <x:c r="A19" s="16" t="str">
        <x:f>'Country_Prices'!A7</x:f>
        <x:v>India</x:v>
      </x:c>
      <x:c r="B19" s="147" t="n">
        <x:f>'Country_Prices'!G7</x:f>
        <x:v>1046.7177500462276</x:v>
      </x:c>
      <x:c r="C19" s="16"/>
      <x:c r="D19" s="16" t="str">
        <x:f>'Affordability'!A7</x:f>
        <x:v>India</x:v>
      </x:c>
      <x:c r="E19" s="80" t="n">
        <x:f>'Affordability'!D7</x:f>
        <x:v>0.08878766223142145</x:v>
      </x:c>
      <x:c r="F19" s="16"/>
      <x:c r="G19" s="16"/>
      <x:c r="H19" s="16"/>
      <x:c r="I19" s="16"/>
      <x:c r="J19" s="16"/>
      <x:c r="K19" s="16"/>
      <x:c r="L19" s="16"/>
    </x:row>
    <x:row r="20">
      <x:c r="A20" s="16" t="str">
        <x:f>'Country_Prices'!A8</x:f>
        <x:v>China</x:v>
      </x:c>
      <x:c r="B20" s="147" t="n">
        <x:f>'Country_Prices'!G8</x:f>
        <x:v>1013.8277792041079</x:v>
      </x:c>
      <x:c r="C20" s="16"/>
      <x:c r="D20" s="16" t="str">
        <x:f>'Affordability'!A8</x:f>
        <x:v>China</x:v>
      </x:c>
      <x:c r="E20" s="80" t="n">
        <x:f>'Affordability'!D8</x:f>
        <x:v>0.034540330444402696</x:v>
      </x:c>
      <x:c r="F20" s="16"/>
      <x:c r="G20" s="16"/>
      <x:c r="H20" s="16"/>
      <x:c r="I20" s="16"/>
      <x:c r="J20" s="16"/>
      <x:c r="K20" s="16"/>
      <x:c r="L20" s="16"/>
    </x:row>
    <x:row r="21">
      <x:c r="A21" s="16" t="str">
        <x:f>'Country_Prices'!A9</x:f>
        <x:v>Japan</x:v>
      </x:c>
      <x:c r="B21" s="147" t="n">
        <x:f>'Country_Prices'!G9</x:f>
        <x:v>1036.4826623485399</x:v>
      </x:c>
      <x:c r="C21" s="16"/>
      <x:c r="D21" s="16" t="str">
        <x:f>'Affordability'!A9</x:f>
        <x:v>Japan</x:v>
      </x:c>
      <x:c r="E21" s="80" t="n">
        <x:f>'Affordability'!D9</x:f>
        <x:v>0.018230602285653427</x:v>
      </x:c>
      <x:c r="F21" s="16"/>
      <x:c r="G21" s="16"/>
      <x:c r="H21" s="16"/>
      <x:c r="I21" s="16"/>
      <x:c r="J21" s="16"/>
      <x:c r="K21" s="16"/>
      <x:c r="L21" s="16"/>
    </x:row>
    <x:row r="22">
      <x:c r="A22" s="16" t="str">
        <x:f>'Country_Prices'!A10</x:f>
        <x:v>United Arab Emirates</x:v>
      </x:c>
      <x:c r="B22" s="147" t="n">
        <x:f>'Country_Prices'!G10</x:f>
        <x:v>1034.4452008168823</x:v>
      </x:c>
      <x:c r="C22" s="16"/>
      <x:c r="D22" s="16" t="str">
        <x:f>'Affordability'!A10</x:f>
        <x:v>United Arab Emirates</x:v>
      </x:c>
      <x:c r="E22" s="80" t="n">
        <x:f>'Affordability'!D10</x:f>
        <x:v>0.012411902629097613</x:v>
      </x:c>
      <x:c r="F22" s="16"/>
      <x:c r="G22" s="16"/>
      <x:c r="H22" s="16"/>
      <x:c r="I22" s="16"/>
      <x:c r="J22" s="16"/>
      <x:c r="K22" s="16"/>
      <x:c r="L22" s="16"/>
    </x:row>
    <x:row r="23">
      <x:c r="A23" s="16" t="str">
        <x:f>'Country_Prices'!A11</x:f>
        <x:v>Singapore</x:v>
      </x:c>
      <x:c r="B23" s="147" t="n">
        <x:f>'Country_Prices'!G11</x:f>
        <x:v>1144.149547957311</x:v>
      </x:c>
      <x:c r="C23" s="16"/>
      <x:c r="D23" s="16" t="str">
        <x:f>'Affordability'!A11</x:f>
        <x:v>Singapore</x:v>
      </x:c>
      <x:c r="E23" s="80" t="n">
        <x:f>'Affordability'!D11</x:f>
        <x:v>0.006963020167950626</x:v>
      </x:c>
      <x:c r="F23" s="16"/>
      <x:c r="G23" s="16"/>
      <x:c r="H23" s="16"/>
      <x:c r="I23" s="16"/>
      <x:c r="J23" s="16"/>
      <x:c r="K23" s="16"/>
      <x:c r="L23" s="16"/>
    </x:row>
    <x:row r="24">
      <x:c r="A24" s="16" t="str">
        <x:f>'Country_Prices'!A12</x:f>
        <x:v>United Kingdom</x:v>
      </x:c>
      <x:c r="B24" s="147" t="n">
        <x:f>'Country_Prices'!G12</x:f>
        <x:v>1215.478554385148</x:v>
      </x:c>
      <x:c r="C24" s="16"/>
      <x:c r="D24" s="16" t="str">
        <x:f>'Affordability'!A12</x:f>
        <x:v>United Kingdom</x:v>
      </x:c>
      <x:c r="E24" s="80" t="n">
        <x:f>'Affordability'!D12</x:f>
        <x:v>0.01854984440114686</x:v>
      </x:c>
      <x:c r="F24" s="16"/>
      <x:c r="G24" s="16"/>
      <x:c r="H24" s="16"/>
      <x:c r="I24" s="16"/>
      <x:c r="J24" s="16"/>
      <x:c r="K24" s="16"/>
      <x:c r="L24" s="16"/>
    </x:row>
    <x:row r="25">
      <x:c r="A25" s="16" t="str">
        <x:f>'Country_Prices'!A13</x:f>
        <x:v>Germany</x:v>
      </x:c>
      <x:c r="B25" s="147" t="n">
        <x:f>'Country_Prices'!G13</x:f>
        <x:v>1276.5984</x:v>
      </x:c>
      <x:c r="C25" s="16"/>
      <x:c r="D25" s="16" t="str">
        <x:f>'Affordability'!A13</x:f>
        <x:v>Germany</x:v>
      </x:c>
      <x:c r="E25" s="80" t="n">
        <x:f>'Affordability'!D13</x:f>
        <x:v>0.01725039727582293</x:v>
      </x:c>
      <x:c r="F25" s="16"/>
      <x:c r="G25" s="16"/>
      <x:c r="H25" s="16"/>
      <x:c r="I25" s="16"/>
      <x:c r="J25" s="16"/>
      <x:c r="K25" s="16"/>
      <x:c r="L25" s="16"/>
    </x:row>
    <x:row r="26">
      <x:c r="A26" s="16" t="str">
        <x:f>'Country_Prices'!A14</x:f>
        <x:v>Brazil</x:v>
      </x:c>
      <x:c r="B26" s="147" t="n">
        <x:f>'Country_Prices'!G14</x:f>
        <x:v>1619.4258836177933</x:v>
      </x:c>
      <x:c r="C26" s="16"/>
      <x:c r="D26" s="16" t="str">
        <x:f>'Affordability'!A14</x:f>
        <x:v>Brazil</x:v>
      </x:c>
      <x:c r="E26" s="80" t="n">
        <x:f>'Affordability'!D14</x:f>
        <x:v>0.06926247310285245</x:v>
      </x:c>
      <x:c r="F26" s="16"/>
      <x:c r="G26" s="16"/>
      <x:c r="H26" s="16"/>
      <x:c r="I26" s="16"/>
      <x:c r="J26" s="16"/>
      <x:c r="K26" s="16"/>
      <x:c r="L26" s="16"/>
    </x:row>
    <x:row r="27">
      <x:c r="A27" s="16" t="str">
        <x:f>'Country_Prices'!A15</x:f>
        <x:v>Türkiye</x:v>
      </x:c>
      <x:c r="B27" s="147" t="n">
        <x:f>'Country_Prices'!G15</x:f>
        <x:v>2062.054662036938</x:v>
      </x:c>
      <x:c r="C27" s="16"/>
      <x:c r="D27" s="16" t="str">
        <x:f>'Affordability'!A15</x:f>
        <x:v>Türkiye</x:v>
      </x:c>
      <x:c r="E27" s="80" t="n">
        <x:f>'Affordability'!D15</x:f>
        <x:v>0.046748008661005175</x:v>
      </x:c>
      <x:c r="F27" s="16"/>
      <x:c r="G27" s="16"/>
      <x:c r="H27" s="16"/>
      <x:c r="I27" s="16"/>
      <x:c r="J27" s="16"/>
      <x:c r="K27" s="16"/>
      <x:c r="L27" s="16"/>
    </x:row>
    <x:row r="28">
      <x:c r="A28" s="16" t="str">
        <x:f>'Country_Prices'!A16</x:f>
        <x:v>Canada</x:v>
      </x:c>
      <x:c r="B28" s="147" t="n">
        <x:f>'Country_Prices'!G16</x:f>
        <x:v>940.1946538725155</x:v>
      </x:c>
      <x:c r="C28" s="16"/>
      <x:c r="D28" s="16" t="str">
        <x:f>'Affordability'!A16</x:f>
        <x:v>Canada</x:v>
      </x:c>
      <x:c r="E28" s="80" t="n">
        <x:f>'Affordability'!D16</x:f>
        <x:v>0.014030033782587192</x:v>
      </x:c>
      <x:c r="F28" s="16"/>
      <x:c r="G28" s="16"/>
      <x:c r="H28" s="16"/>
      <x:c r="I28" s="16"/>
      <x:c r="J28" s="16"/>
      <x:c r="K28" s="16"/>
      <x:c r="L28" s="16"/>
    </x:row>
    <x:row r="29">
      <x:c r="A29" s="16" t="str">
        <x:f>'Country_Prices'!A17</x:f>
        <x:v>Australia</x:v>
      </x:c>
      <x:c r="B29" s="147" t="n">
        <x:f>'Country_Prices'!G17</x:f>
        <x:v>1112.9575060308034</x:v>
      </x:c>
      <x:c r="C29" s="16"/>
      <x:c r="D29" s="16" t="str">
        <x:f>'Affordability'!A17</x:f>
        <x:v>Australia</x:v>
      </x:c>
      <x:c r="E29" s="80" t="n">
        <x:f>'Affordability'!D17</x:f>
        <x:v>0.01542945580367664</x:v>
      </x:c>
      <x:c r="F29" s="16"/>
      <x:c r="G29" s="16"/>
      <x:c r="H29" s="16"/>
      <x:c r="I29" s="16"/>
      <x:c r="J29" s="16"/>
      <x:c r="K29" s="16"/>
      <x:c r="L29" s="16"/>
    </x:row>
    <x:row r="30">
      <x:c r="A30" s="16" t="str">
        <x:f>'Country_Prices'!A18</x:f>
        <x:v>Hong Kong</x:v>
      </x:c>
      <x:c r="B30" s="147" t="n">
        <x:f>'Country_Prices'!G18</x:f>
        <x:v>994.6223115180659</x:v>
      </x:c>
      <x:c r="C30" s="16"/>
      <x:c r="D30" s="16" t="str">
        <x:f>'Affordability'!A18</x:f>
        <x:v>Hong Kong</x:v>
      </x:c>
      <x:c r="E30" s="80" t="n">
        <x:f>'Affordability'!D18</x:f>
        <x:v>0.012382783405974204</x:v>
      </x:c>
      <x:c r="F30" s="16"/>
      <x:c r="G30" s="16"/>
      <x:c r="H30" s="16"/>
      <x:c r="I30" s="16"/>
      <x:c r="J30" s="16"/>
      <x:c r="K30" s="16"/>
      <x:c r="L30" s="16"/>
    </x:row>
    <x:row r="31">
      <x:c r="A31" s="16"/>
      <x:c r="B31" s="16"/>
      <x:c r="C31" s="16"/>
      <x:c r="D31" s="16"/>
      <x:c r="E31" s="16"/>
      <x:c r="F31" s="16"/>
      <x:c r="G31" s="16"/>
      <x:c r="H31" s="16"/>
      <x:c r="I31" s="16"/>
      <x:c r="J31" s="16"/>
      <x:c r="K31" s="16"/>
      <x:c r="L31" s="16"/>
    </x:row>
    <x:row r="32">
      <x:c r="A32" s="16"/>
      <x:c r="B32" s="16"/>
      <x:c r="C32" s="16"/>
      <x:c r="D32" s="16"/>
      <x:c r="E32" s="16"/>
      <x:c r="F32" s="16"/>
      <x:c r="G32" s="16"/>
      <x:c r="H32" s="16"/>
      <x:c r="I32" s="16"/>
      <x:c r="J32" s="16"/>
      <x:c r="K32" s="16"/>
      <x:c r="L32" s="16"/>
    </x:row>
    <x:row r="33">
      <x:c r="A33" s="159" t="str">
        <x:v>What changed in this version</x:v>
      </x:c>
      <x:c r="B33" s="159"/>
      <x:c r="C33" s="159"/>
      <x:c r="D33" s="192" t="str">
        <x:v>Consumer Decision Layer — TCO</x:v>
      </x:c>
      <x:c r="E33" s="192"/>
      <x:c r="F33" s="192"/>
      <x:c r="G33" s="192"/>
      <x:c r="H33" s="192"/>
      <x:c r="I33" s="16"/>
      <x:c r="J33" s="16"/>
      <x:c r="K33" s="16"/>
      <x:c r="L33" s="16"/>
    </x:row>
    <x:row r="34">
      <x:c r="A34" s="164" t="str">
        <x:v>Primary affordability metric</x:v>
      </x:c>
      <x:c r="B34" s="174" t="str">
        <x:v>Household-consumption PPP proxy added; GDP-PPP retained only as robustness check.</x:v>
      </x:c>
      <x:c r="C34" s="16"/>
      <x:c r="D34" s="198" t="str">
        <x:v>Current India purchase price</x:v>
      </x:c>
      <x:c r="E34" s="196" t="n">
        <x:f>TCO_Model!B7</x:f>
        <x:v>99900</x:v>
      </x:c>
      <x:c r="F34" s="16"/>
      <x:c r="G34" s="16"/>
      <x:c r="H34" s="16"/>
      <x:c r="I34" s="16"/>
      <x:c r="J34" s="16"/>
      <x:c r="K34" s="16"/>
      <x:c r="L34" s="16"/>
    </x:row>
    <x:row r="35">
      <x:c r="A35" s="164" t="str">
        <x:v>Core consumer-affordability result</x:v>
      </x:c>
      <x:c r="B35" s="174" t="str">
        <x:v>India is the hardest burden in the comparable India/US/China/Singapore core sample.</x:v>
      </x:c>
      <x:c r="C35" s="16"/>
      <x:c r="D35" s="198" t="str">
        <x:v>3-year modeled resale assumption</x:v>
      </x:c>
      <x:c r="E35" s="197" t="n">
        <x:f>TCO_Model!B9</x:f>
        <x:v>0.4</x:v>
      </x:c>
      <x:c r="F35" s="16"/>
      <x:c r="G35" s="16"/>
      <x:c r="H35" s="16"/>
      <x:c r="I35" s="16"/>
      <x:c r="J35" s="16"/>
      <x:c r="K35" s="16"/>
      <x:c r="L35" s="16"/>
    </x:row>
    <x:row r="36">
      <x:c r="A36" s="164" t="str">
        <x:v>Tax-normalized India result</x:v>
      </x:c>
      <x:c r="B36" s="174" t="str">
        <x:v>₹99,900 / 1.18 ≈ ₹84,661; ~US$887 at workbook FX vs US unlocked $929 before US sales tax.</x:v>
      </x:c>
      <x:c r="C36" s="16"/>
      <x:c r="D36" s="198" t="str">
        <x:v>3-year modeled net ownership cost</x:v>
      </x:c>
      <x:c r="E36" s="196" t="n">
        <x:f>TCO_Model!G9</x:f>
        <x:v>59940</x:v>
      </x:c>
      <x:c r="F36" s="16"/>
      <x:c r="G36" s="16"/>
      <x:c r="H36" s="16"/>
      <x:c r="I36" s="16"/>
      <x:c r="J36" s="16"/>
      <x:c r="K36" s="16"/>
      <x:c r="L36" s="16"/>
    </x:row>
    <x:row r="37">
      <x:c r="A37" s="164" t="str">
        <x:v>Manufacturing timeline</x:v>
      </x:c>
      <x:c r="B37" s="174" t="str">
        <x:v>India iPhone production rose from &gt;$7B FY23 to ~$26B FY26 (~3.7×).</x:v>
      </x:c>
      <x:c r="C37" s="16"/>
      <x:c r="D37" s="198" t="str">
        <x:v>3-year modeled annual cost</x:v>
      </x:c>
      <x:c r="E37" s="196" t="n">
        <x:f>TCO_Model!G10</x:f>
        <x:v>19980</x:v>
      </x:c>
      <x:c r="F37" s="16"/>
      <x:c r="G37" s="16"/>
      <x:c r="H37" s="16"/>
      <x:c r="I37" s="16"/>
      <x:c r="J37" s="16"/>
      <x:c r="K37" s="16"/>
      <x:c r="L37" s="16"/>
    </x:row>
    <x:row r="38">
      <x:c r="A38" s="164" t="str">
        <x:v>Price timeline caveat</x:v>
      </x:c>
      <x:c r="B38" s="174" t="str">
        <x:v>iPhone 17 base storage moved to 256GB; 2025 vs earlier base models is not a pure like-for-like price series.</x:v>
      </x:c>
      <x:c r="C38" s="16"/>
      <x:c r="D38" s="198" t="str">
        <x:v>3-year modeled monthly cost</x:v>
      </x:c>
      <x:c r="E38" s="196" t="n">
        <x:f>TCO_Model!G11</x:f>
        <x:v>1665</x:v>
      </x:c>
      <x:c r="F38" s="16"/>
      <x:c r="G38" s="16"/>
      <x:c r="H38" s="16"/>
      <x:c r="I38" s="16"/>
      <x:c r="J38" s="16"/>
      <x:c r="K38" s="16"/>
      <x:c r="L38" s="16"/>
    </x:row>
    <x:row r="39">
      <x:c r="A39" s="164" t="str">
        <x:v>Interpretation</x:v>
      </x:c>
      <x:c r="B39" s="174" t="str">
        <x:v>Local assembly scale and consumer retail pricing are related but distinct; taxes, imports, FX, channel economics and market pricing must be separated.</x:v>
      </x:c>
      <x:c r="C39" s="16"/>
      <x:c r="D39" s="16"/>
      <x:c r="E39" s="16"/>
      <x:c r="F39" s="16"/>
      <x:c r="G39" s="16"/>
      <x:c r="H39" s="16"/>
      <x:c r="I39" s="16"/>
      <x:c r="J39" s="16"/>
      <x:c r="K39" s="16"/>
      <x:c r="L39" s="16"/>
    </x:row>
    <x:row r="40">
      <x:c r="A40" s="16"/>
      <x:c r="B40" s="16"/>
      <x:c r="C40" s="16"/>
      <x:c r="D40" s="16"/>
      <x:c r="E40" s="16"/>
      <x:c r="F40" s="16"/>
      <x:c r="G40" s="16"/>
      <x:c r="H40" s="16"/>
      <x:c r="I40" s="16"/>
      <x:c r="J40" s="16"/>
      <x:c r="K40" s="16"/>
      <x:c r="L40" s="16"/>
    </x:row>
    <x:row r="41">
      <x:c r="A41" s="16"/>
      <x:c r="B41" s="16"/>
      <x:c r="C41" s="16"/>
      <x:c r="D41" s="16"/>
      <x:c r="E41" s="16"/>
      <x:c r="F41" s="16"/>
      <x:c r="G41" s="16"/>
      <x:c r="H41" s="16"/>
      <x:c r="I41" s="16"/>
      <x:c r="J41" s="16"/>
      <x:c r="K41" s="16"/>
      <x:c r="L41" s="16"/>
    </x:row>
    <x:row r="42">
      <x:c r="A42" s="210" t="str">
        <x:v>Android Benchmark — Galaxy S26 256GB</x:v>
      </x:c>
      <x:c r="B42" s="210"/>
      <x:c r="C42" s="210"/>
      <x:c r="D42" s="210"/>
      <x:c r="E42" s="210"/>
      <x:c r="F42" s="210"/>
      <x:c r="G42" s="210"/>
      <x:c r="H42" s="210"/>
      <x:c r="I42" s="16"/>
      <x:c r="J42" s="16"/>
      <x:c r="K42" s="16"/>
      <x:c r="L42" s="16"/>
    </x:row>
    <x:row r="43">
      <x:c r="A43" s="224" t="str">
        <x:v>Galaxy S26 official India price</x:v>
      </x:c>
      <x:c r="B43" s="222" t="n">
        <x:f>Android_Comparison!C7</x:f>
        <x:v>87999</x:v>
      </x:c>
      <x:c r="C43" s="16"/>
      <x:c r="D43" s="16"/>
      <x:c r="E43" s="16"/>
      <x:c r="F43" s="16"/>
      <x:c r="G43" s="16"/>
      <x:c r="H43" s="16"/>
      <x:c r="I43" s="16"/>
      <x:c r="J43" s="16"/>
      <x:c r="K43" s="16"/>
      <x:c r="L43" s="16"/>
    </x:row>
    <x:row r="44">
      <x:c r="A44" s="224" t="str">
        <x:v>Upfront gap vs iPhone</x:v>
      </x:c>
      <x:c r="B44" s="222" t="n">
        <x:f>Android_Comparison!B13</x:f>
        <x:v>11901</x:v>
      </x:c>
      <x:c r="C44" s="16"/>
      <x:c r="D44" s="16"/>
      <x:c r="E44" s="16"/>
      <x:c r="F44" s="16"/>
      <x:c r="G44" s="16"/>
      <x:c r="H44" s="16"/>
      <x:c r="I44" s="16"/>
      <x:c r="J44" s="16"/>
      <x:c r="K44" s="16"/>
      <x:c r="L44" s="16"/>
    </x:row>
    <x:row r="45">
      <x:c r="A45" s="224" t="str">
        <x:v>Equal-assumption Galaxy monthly TCO</x:v>
      </x:c>
      <x:c r="B45" s="222" t="n">
        <x:f>Android_Comparison!J7</x:f>
        <x:v>1466.65</x:v>
      </x:c>
      <x:c r="C45" s="16"/>
      <x:c r="D45" s="16"/>
      <x:c r="E45" s="16"/>
      <x:c r="F45" s="16"/>
      <x:c r="G45" s="16"/>
      <x:c r="H45" s="16"/>
      <x:c r="I45" s="16"/>
      <x:c r="J45" s="16"/>
      <x:c r="K45" s="16"/>
      <x:c r="L45" s="16"/>
    </x:row>
    <x:row r="46">
      <x:c r="A46" s="224" t="str">
        <x:v>Equal-assumption iPhone monthly TCO</x:v>
      </x:c>
      <x:c r="B46" s="222" t="n">
        <x:f>Android_Comparison!J6</x:f>
        <x:v>1665</x:v>
      </x:c>
      <x:c r="C46" s="16"/>
      <x:c r="D46" s="16"/>
      <x:c r="E46" s="16"/>
      <x:c r="F46" s="16"/>
      <x:c r="G46" s="16"/>
      <x:c r="H46" s="16"/>
      <x:c r="I46" s="16"/>
      <x:c r="J46" s="16"/>
      <x:c r="K46" s="16"/>
      <x:c r="L46" s="16"/>
    </x:row>
    <x:row r="47">
      <x:c r="A47" s="224" t="str">
        <x:v>iPhone resale threshold to match Galaxy (Galaxy at 40%)</x:v>
      </x:c>
      <x:c r="B47" s="223" t="n">
        <x:f>Android_Comparison!B16</x:f>
        <x:v>0.47147747747747737</x:v>
      </x:c>
      <x:c r="C47" s="16"/>
      <x:c r="D47" s="16"/>
      <x:c r="E47" s="16"/>
      <x:c r="F47" s="16"/>
      <x:c r="G47" s="16"/>
      <x:c r="H47" s="16"/>
      <x:c r="I47" s="16"/>
      <x:c r="J47" s="16"/>
      <x:c r="K47" s="16"/>
      <x:c r="L47" s="16"/>
    </x:row>
    <x:row r="48">
      <x:c r="A48" s="16"/>
      <x:c r="B48" s="16"/>
      <x:c r="C48" s="16"/>
      <x:c r="D48" s="16"/>
      <x:c r="E48" s="16"/>
      <x:c r="F48" s="16"/>
      <x:c r="G48" s="16"/>
      <x:c r="H48" s="16"/>
      <x:c r="I48" s="16"/>
      <x:c r="J48" s="16"/>
      <x:c r="K48" s="16"/>
      <x:c r="L48" s="16"/>
    </x:row>
    <x:row r="49">
      <x:c r="A49" s="16"/>
      <x:c r="B49" s="16"/>
      <x:c r="C49" s="16"/>
      <x:c r="D49" s="16"/>
      <x:c r="E49" s="16"/>
      <x:c r="F49" s="16"/>
      <x:c r="G49" s="16"/>
      <x:c r="H49" s="16"/>
      <x:c r="I49" s="16"/>
      <x:c r="J49" s="16"/>
      <x:c r="K49" s="16"/>
      <x:c r="L49" s="16"/>
    </x:row>
    <x:row r="50">
      <x:c r="A50" s="16"/>
      <x:c r="B50" s="16"/>
      <x:c r="C50" s="16"/>
      <x:c r="D50" s="16"/>
      <x:c r="E50" s="16"/>
      <x:c r="F50" s="16"/>
      <x:c r="G50" s="16"/>
      <x:c r="H50" s="16"/>
      <x:c r="I50" s="16"/>
      <x:c r="J50" s="16"/>
      <x:c r="K50" s="16"/>
      <x:c r="L50" s="16"/>
    </x:row>
    <x:row r="51">
      <x:c r="A51" s="16"/>
      <x:c r="B51" s="16"/>
      <x:c r="C51" s="16"/>
      <x:c r="D51" s="16"/>
      <x:c r="E51" s="16"/>
      <x:c r="F51" s="16"/>
      <x:c r="G51" s="16"/>
      <x:c r="H51" s="16"/>
      <x:c r="I51" s="16"/>
      <x:c r="J51" s="16"/>
      <x:c r="K51" s="16"/>
      <x:c r="L51" s="16"/>
    </x:row>
    <x:row r="52">
      <x:c r="A52" s="16"/>
      <x:c r="B52" s="16"/>
      <x:c r="C52" s="16"/>
      <x:c r="D52" s="16"/>
      <x:c r="E52" s="16"/>
      <x:c r="F52" s="16"/>
      <x:c r="G52" s="16"/>
      <x:c r="H52" s="16"/>
      <x:c r="I52" s="16"/>
      <x:c r="J52" s="16"/>
      <x:c r="K52" s="16"/>
      <x:c r="L52" s="16"/>
    </x:row>
    <x:row r="53">
      <x:c r="A53" s="16"/>
      <x:c r="B53" s="16"/>
      <x:c r="C53" s="16"/>
      <x:c r="D53" s="16"/>
      <x:c r="E53" s="16"/>
      <x:c r="F53" s="16"/>
      <x:c r="G53" s="16"/>
      <x:c r="H53" s="16"/>
      <x:c r="I53" s="16"/>
      <x:c r="J53" s="16"/>
      <x:c r="K53" s="16"/>
      <x:c r="L53" s="16"/>
    </x:row>
    <x:row r="54">
      <x:c r="A54" s="16"/>
      <x:c r="B54" s="16"/>
      <x:c r="C54" s="16"/>
      <x:c r="D54" s="16"/>
      <x:c r="E54" s="16"/>
      <x:c r="F54" s="16"/>
      <x:c r="G54" s="16"/>
      <x:c r="H54" s="16"/>
      <x:c r="I54" s="16"/>
      <x:c r="J54" s="16"/>
      <x:c r="K54" s="16"/>
      <x:c r="L54" s="16"/>
    </x:row>
    <x:row r="55">
      <x:c r="A55" s="16"/>
      <x:c r="B55" s="16"/>
      <x:c r="C55" s="16"/>
      <x:c r="D55" s="16"/>
      <x:c r="E55" s="16"/>
      <x:c r="F55" s="16"/>
      <x:c r="G55" s="16"/>
      <x:c r="H55" s="16"/>
      <x:c r="I55" s="16"/>
      <x:c r="J55" s="16"/>
      <x:c r="K55" s="16"/>
      <x:c r="L55" s="16"/>
    </x:row>
  </x:sheetData>
  <x:mergeCells>
    <x:mergeCell ref="A1:L2"/>
    <x:mergeCell ref="A4:C6"/>
    <x:mergeCell ref="D4:F6"/>
    <x:mergeCell ref="G4:I6"/>
    <x:mergeCell ref="A8:C10"/>
    <x:mergeCell ref="D8:F10"/>
    <x:mergeCell ref="G8:I10"/>
    <x:mergeCell ref="A3:C3"/>
    <x:mergeCell ref="D3:F3"/>
    <x:mergeCell ref="G3:I3"/>
    <x:mergeCell ref="A7:C7"/>
    <x:mergeCell ref="D7:F7"/>
    <x:mergeCell ref="G7:I7"/>
    <x:mergeCell ref="A12:L14"/>
    <x:mergeCell ref="A33:H33"/>
    <x:mergeCell ref="D33:H33"/>
    <x:mergeCell ref="A42:H42"/>
  </x:mergeCells>
  <x:pageMargins left="0.7" right="0.7" top="0.75" bottom="0.75" header="0.3" footer="0.3"/>
  <x:drawing xmlns:r="http://schemas.openxmlformats.org/officeDocument/2006/relationships" r:id="R88bef624d28641ab"/>
</x:worksheet>
</file>

<file path=xl/worksheets/sheet9.xml><?xml version="1.0" encoding="utf-8"?>
<x:worksheet xmlns:x="http://schemas.openxmlformats.org/spreadsheetml/2006/main">
  <x:sheetFormatPr defaultRowHeight="15"/>
  <x:cols>
    <x:col min="1" max="1" width="18" hidden="0" customWidth="1"/>
    <x:col min="2" max="2" width="16" hidden="0" customWidth="1"/>
    <x:col min="3" max="3" width="24" hidden="0" customWidth="1"/>
    <x:col min="4" max="4" width="14" hidden="0" customWidth="1"/>
    <x:col min="5" max="5" width="19" hidden="0" customWidth="1"/>
    <x:col min="6" max="6" width="20" hidden="0" customWidth="1"/>
    <x:col min="7" max="7" width="14" hidden="0" customWidth="1"/>
    <x:col min="8" max="8" width="30" hidden="0" customWidth="1"/>
    <x:col min="9" max="9" width="38" hidden="0" customWidth="1"/>
    <x:col min="10" max="10" width="32" hidden="0" customWidth="1"/>
  </x:cols>
  <x:sheetData>
    <x:row r="1" ht="30" customHeight="1">
      <x:c r="A1" s="153" t="str">
        <x:v>Consumer Affordability — Household Consumption PPP Proxy</x:v>
      </x:c>
      <x:c r="B1" s="153" t="str">
        <x:v>Consumer Affordability — Household Consumption PPP Proxy</x:v>
      </x:c>
      <x:c r="C1" s="153" t="str">
        <x:v>Consumer Affordability — Household Consumption PPP Proxy</x:v>
      </x:c>
      <x:c r="D1" s="153" t="str">
        <x:v>Consumer Affordability — Household Consumption PPP Proxy</x:v>
      </x:c>
      <x:c r="E1" s="153" t="str">
        <x:v>Consumer Affordability — Household Consumption PPP Proxy</x:v>
      </x:c>
      <x:c r="F1" s="153" t="str">
        <x:v>Consumer Affordability — Household Consumption PPP Proxy</x:v>
      </x:c>
      <x:c r="G1" s="153" t="str">
        <x:v>Consumer Affordability — Household Consumption PPP Proxy</x:v>
      </x:c>
      <x:c r="H1" s="153" t="str">
        <x:v>Consumer Affordability — Household Consumption PPP Proxy</x:v>
      </x:c>
      <x:c r="I1" s="153" t="str">
        <x:v>Consumer Affordability — Household Consumption PPP Proxy</x:v>
      </x:c>
      <x:c r="J1" s="153" t="str">
        <x:v>Consumer Affordability — Household Consumption PPP Proxy</x:v>
      </x:c>
    </x:row>
    <x:row r="3">
      <x:c r="A3" s="156" t="str">
        <x:v>Primary consumer-burden proxy. Uses household final consumption expenditure per capita at PPP, which is closer to consumer purchasing power than GDP per capita. It is still NOT salary, median income, or disposable income.</x:v>
      </x:c>
      <x:c r="B3" s="156"/>
      <x:c r="C3" s="156"/>
      <x:c r="D3" s="156"/>
      <x:c r="E3" s="156"/>
      <x:c r="F3" s="156"/>
      <x:c r="G3" s="156"/>
      <x:c r="H3" s="156"/>
      <x:c r="I3" s="156"/>
      <x:c r="J3" s="156"/>
    </x:row>
    <x:row r="5">
      <x:c r="A5" s="159" t="str">
        <x:v>Country</x:v>
      </x:c>
      <x:c r="B5" s="159" t="str">
        <x:v>iPhone Price (USD)</x:v>
      </x:c>
      <x:c r="C5" s="159" t="str">
        <x:v>Household Consumption PPP / Capita (Intl$)</x:v>
      </x:c>
      <x:c r="D5" s="159" t="str">
        <x:v>Reference Year</x:v>
      </x:c>
      <x:c r="E5" s="159" t="str">
        <x:v>Price as % of Annual Consumption</x:v>
      </x:c>
      <x:c r="F5" s="159" t="str">
        <x:v>Consumption-equivalent Months</x:v>
      </x:c>
      <x:c r="G5" s="159" t="str">
        <x:v>Rank (1=hardest)</x:v>
      </x:c>
      <x:c r="H5" s="159" t="str">
        <x:v>Evidence</x:v>
      </x:c>
      <x:c r="I5" s="159" t="str">
        <x:v>Source</x:v>
      </x:c>
      <x:c r="J5" s="159" t="str">
        <x:v>Caveat</x:v>
      </x:c>
    </x:row>
    <x:row r="6">
      <x:c r="A6" t="str">
        <x:v>India</x:v>
      </x:c>
      <x:c r="B6" s="160" t="n">
        <x:v>1046.7177500462276</x:v>
      </x:c>
      <x:c r="C6" s="161" t="n">
        <x:v>7034</x:v>
      </x:c>
      <x:c r="D6" t="n">
        <x:v>2024</x:v>
      </x:c>
      <x:c r="E6" s="74" t="n">
        <x:f>B6/C6</x:f>
        <x:v>0.14880832386213075</x:v>
      </x:c>
      <x:c r="F6" s="76" t="n">
        <x:f>E6*12</x:f>
        <x:v>1.785699886345569</x:v>
      </x:c>
      <x:c r="G6" t="n">
        <x:f>RANK(E6,$E$6:$E$9,0)</x:f>
        <x:v>1</x:v>
      </x:c>
      <x:c r="H6" t="str">
        <x:v>CALCULATED from reported WDI consumption PPP total and population</x:v>
      </x:c>
      <x:c r="I6" t="str">
        <x:v>https://data.worldbank.org/indicator/NE.CON.PCAP.PP.CD</x:v>
      </x:c>
      <x:c r="J6" t="str">
        <x:v>Consumer-spending PPP proxy; not personal income.</x:v>
      </x:c>
    </x:row>
    <x:row r="7">
      <x:c r="A7" t="str">
        <x:v>China</x:v>
      </x:c>
      <x:c r="B7" s="160" t="n">
        <x:v>1013.8277792041079</x:v>
      </x:c>
      <x:c r="C7" s="161" t="n">
        <x:v>10759</x:v>
      </x:c>
      <x:c r="D7" t="n">
        <x:v>2024</x:v>
      </x:c>
      <x:c r="E7" s="74" t="n">
        <x:f>B7/C7</x:f>
        <x:v>0.09423067006265526</x:v>
      </x:c>
      <x:c r="F7" s="76" t="n">
        <x:f>E7*12</x:f>
        <x:v>1.130768040751863</x:v>
      </x:c>
      <x:c r="G7" t="n">
        <x:f>RANK(E7,$E$6:$E$9,0)</x:f>
        <x:v>2</x:v>
      </x:c>
      <x:c r="H7" t="str">
        <x:v>CALCULATED from reported WDI consumption PPP total and population</x:v>
      </x:c>
      <x:c r="I7" t="str">
        <x:v>https://data.worldbank.org/indicator/NE.CON.PCAP.PP.CD</x:v>
      </x:c>
      <x:c r="J7" t="str">
        <x:v>Consumer-spending PPP proxy; not personal income.</x:v>
      </x:c>
    </x:row>
    <x:row r="8">
      <x:c r="A8" t="str">
        <x:v>Singapore</x:v>
      </x:c>
      <x:c r="B8" s="160" t="n">
        <x:v>1144.149547957311</x:v>
      </x:c>
      <x:c r="C8" s="161" t="n">
        <x:v>36838</x:v>
      </x:c>
      <x:c r="D8" t="n">
        <x:v>2024</x:v>
      </x:c>
      <x:c r="E8" s="74" t="n">
        <x:f>B8/C8</x:f>
        <x:v>0.031058948584540717</x:v>
      </x:c>
      <x:c r="F8" s="76" t="n">
        <x:f>E8*12</x:f>
        <x:v>0.3727073830144886</x:v>
      </x:c>
      <x:c r="G8" t="n">
        <x:f>RANK(E8,$E$6:$E$9,0)</x:f>
        <x:v>3</x:v>
      </x:c>
      <x:c r="H8" t="str">
        <x:v>CALCULATED from reported WDI consumption PPP total and population</x:v>
      </x:c>
      <x:c r="I8" t="str">
        <x:v>https://data.worldbank.org/indicator/NE.CON.PCAP.PP.CD</x:v>
      </x:c>
      <x:c r="J8" t="str">
        <x:v>Consumer-spending PPP proxy; not personal income.</x:v>
      </x:c>
    </x:row>
    <x:row r="9">
      <x:c r="A9" t="str">
        <x:v>United States</x:v>
      </x:c>
      <x:c r="B9" s="160" t="n">
        <x:v>929</x:v>
      </x:c>
      <x:c r="C9" s="161" t="n">
        <x:v>58314</x:v>
      </x:c>
      <x:c r="D9" t="n">
        <x:v>2024</x:v>
      </x:c>
      <x:c r="E9" s="74" t="n">
        <x:f>B9/C9</x:f>
        <x:v>0.01593099427238742</x:v>
      </x:c>
      <x:c r="F9" s="76" t="n">
        <x:f>E9*12</x:f>
        <x:v>0.191171931268649</x:v>
      </x:c>
      <x:c r="G9" t="n">
        <x:f>RANK(E9,$E$6:$E$9,0)</x:f>
        <x:v>4</x:v>
      </x:c>
      <x:c r="H9" t="str">
        <x:v>CALCULATED from reported WDI consumption PPP total and population</x:v>
      </x:c>
      <x:c r="I9" t="str">
        <x:v>https://data.worldbank.org/indicator/NE.CON.PCAP.PP.CD</x:v>
      </x:c>
      <x:c r="J9" t="str">
        <x:v>US Apple list price excludes state/local sales tax.</x:v>
      </x:c>
    </x:row>
    <x:row r="11">
      <x:c r="A11" s="164" t="str">
        <x:v>Interpretation: in this core comparable sample, India carries the highest iPhone burden relative to household consumption purchasing power. Keep the 13-market GDP-PPP sheet as a broader robustness check.</x:v>
      </x:c>
      <x:c r="B11" s="164"/>
      <x:c r="C11" s="164"/>
      <x:c r="D11" s="164"/>
      <x:c r="E11" s="164"/>
      <x:c r="F11" s="164"/>
      <x:c r="G11" s="164"/>
      <x:c r="H11" s="164"/>
      <x:c r="I11" s="164"/>
      <x:c r="J11" s="164"/>
    </x:row>
  </x:sheetData>
  <x:mergeCells>
    <x:mergeCell ref="A3:J3"/>
    <x:mergeCell ref="A11:J11"/>
  </x:mergeCells>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6" hidden="0" customWidth="1"/>
    <x:col min="3" max="3" width="16" hidden="0" customWidth="1"/>
    <x:col min="4" max="4" width="28" hidden="0" customWidth="1"/>
    <x:col min="5" max="5" width="18" hidden="0" customWidth="1"/>
    <x:col min="6" max="6" width="18" hidden="0" customWidth="1"/>
    <x:col min="7" max="7" width="18" hidden="0" customWidth="1"/>
    <x:col min="8" max="8" width="34" hidden="0" customWidth="1"/>
    <x:col min="9" max="9" width="18" hidden="0" customWidth="1"/>
    <x:col min="10" max="10" width="38" hidden="0" customWidth="1"/>
  </x:cols>
  <x:sheetData>
    <x:row r="1" ht="30" customHeight="1">
      <x:c r="A1" s="153" t="str">
        <x:v>Tax-Normalized Listed Price — Directional Comparison</x:v>
      </x:c>
      <x:c r="B1" s="153" t="str">
        <x:v>Tax-Normalized Listed Price — Directional Comparison</x:v>
      </x:c>
      <x:c r="C1" s="153" t="str">
        <x:v>Tax-Normalized Listed Price — Directional Comparison</x:v>
      </x:c>
      <x:c r="D1" s="153" t="str">
        <x:v>Tax-Normalized Listed Price — Directional Comparison</x:v>
      </x:c>
      <x:c r="E1" s="153" t="str">
        <x:v>Tax-Normalized Listed Price — Directional Comparison</x:v>
      </x:c>
      <x:c r="F1" s="153" t="str">
        <x:v>Tax-Normalized Listed Price — Directional Comparison</x:v>
      </x:c>
      <x:c r="G1" s="153" t="str">
        <x:v>Tax-Normalized Listed Price — Directional Comparison</x:v>
      </x:c>
      <x:c r="H1" s="153" t="str">
        <x:v>Tax-Normalized Listed Price — Directional Comparison</x:v>
      </x:c>
      <x:c r="I1" s="153" t="str">
        <x:v>Tax-Normalized Listed Price — Directional Comparison</x:v>
      </x:c>
      <x:c r="J1" s="153" t="str">
        <x:v>Tax-Normalized Listed Price — Directional Comparison</x:v>
      </x:c>
    </x:row>
    <x:row r="3">
      <x:c r="A3" s="155" t="str">
        <x:v>Indicative normalization removes standard VAT/GST from tax-inclusive consumer list prices. It does NOT isolate Apple margin, import duties, component costs, channel economics, or market-pricing strategy. US benchmark excludes varying state/local sales tax.</x:v>
      </x:c>
      <x:c r="B3" s="155"/>
      <x:c r="C3" s="155"/>
      <x:c r="D3" s="155"/>
      <x:c r="E3" s="155"/>
      <x:c r="F3" s="155"/>
      <x:c r="G3" s="155"/>
      <x:c r="H3" s="155"/>
      <x:c r="I3" s="155"/>
      <x:c r="J3" s="155"/>
    </x:row>
    <x:row r="5">
      <x:c r="A5" s="159" t="str">
        <x:v>Country</x:v>
      </x:c>
      <x:c r="B5" s="159" t="str">
        <x:v>Listed Price USD</x:v>
      </x:c>
      <x:c r="C5" s="159" t="str">
        <x:v>Standard VAT/GST</x:v>
      </x:c>
      <x:c r="D5" s="159" t="str">
        <x:v>Tax Treatment</x:v>
      </x:c>
      <x:c r="E5" s="159" t="str">
        <x:v>Implied Pre-Tax USD</x:v>
      </x:c>
      <x:c r="F5" s="159" t="str">
        <x:v>Pre-Tax Premium vs US</x:v>
      </x:c>
      <x:c r="G5" s="159" t="str">
        <x:v>Evidence</x:v>
      </x:c>
      <x:c r="H5" s="159" t="str">
        <x:v>Tax Source</x:v>
      </x:c>
      <x:c r="I5" s="159" t="str">
        <x:v>Status</x:v>
      </x:c>
      <x:c r="J5" s="159" t="str">
        <x:v>Key Caveat</x:v>
      </x:c>
    </x:row>
    <x:row r="6">
      <x:c r="A6" t="str">
        <x:v>United States</x:v>
      </x:c>
      <x:c r="B6" s="160" t="n">
        <x:v>929</x:v>
      </x:c>
      <x:c r="C6" s="165" t="n">
        <x:v>0</x:v>
      </x:c>
      <x:c r="D6" t="str">
        <x:v>Sales tax excluded from Apple listed price</x:v>
      </x:c>
      <x:c r="E6" s="166" t="n">
        <x:f>IF(C6=0,B6,B6/(1+C6))</x:f>
        <x:v>929</x:v>
      </x:c>
      <x:c r="F6" s="74" t="n">
        <x:f>E6/$E$6-1</x:f>
        <x:v>0</x:v>
      </x:c>
      <x:c r="G6" t="str">
        <x:v>REPORTED</x:v>
      </x:c>
      <x:c r="H6" t="str">
        <x:v>Apple US / varies by state</x:v>
      </x:c>
      <x:c r="I6" t="str">
        <x:v>BENCHMARK</x:v>
      </x:c>
      <x:c r="J6" t="str">
        <x:v>No single national retail sales-tax rate.</x:v>
      </x:c>
    </x:row>
    <x:row r="7">
      <x:c r="A7" t="str">
        <x:v>India</x:v>
      </x:c>
      <x:c r="B7" s="160" t="n">
        <x:v>1046.7177500462276</x:v>
      </x:c>
      <x:c r="C7" s="165" t="n">
        <x:v>0.18</x:v>
      </x:c>
      <x:c r="D7" t="str">
        <x:v>GST included</x:v>
      </x:c>
      <x:c r="E7" s="166" t="n">
        <x:f>IF(C7=0,B7,B7/(1+C7))</x:f>
        <x:v>887.048940717142</x:v>
      </x:c>
      <x:c r="F7" s="74" t="n">
        <x:f>E7/$E$6-1</x:f>
        <x:v>-0.045157222048286316</x:v>
      </x:c>
      <x:c r="G7" t="str">
        <x:v>REPORTED</x:v>
      </x:c>
      <x:c r="H7" t="str">
        <x:v>Reuters / Apple India</x:v>
      </x:c>
      <x:c r="I7" t="str">
        <x:v>NORMALIZED</x:v>
      </x:c>
      <x:c r="J7" t="str">
        <x:v>Does not remove duties or embedded imported-input effects.</x:v>
      </x:c>
    </x:row>
    <x:row r="8">
      <x:c r="A8" t="str">
        <x:v>China</x:v>
      </x:c>
      <x:c r="B8" s="160" t="n">
        <x:v>1013.8277792041079</x:v>
      </x:c>
      <x:c r="C8" s="165" t="n">
        <x:v>0.13</x:v>
      </x:c>
      <x:c r="D8" t="str">
        <x:v>Standard VAT used directionally</x:v>
      </x:c>
      <x:c r="E8" s="166" t="n">
        <x:f>IF(C8=0,B8,B8/(1+C8))</x:f>
        <x:v>897.1927249593875</x:v>
      </x:c>
      <x:c r="F8" s="74" t="n">
        <x:f>E8/$E$6-1</x:f>
        <x:v>-0.03423818626546016</x:v>
      </x:c>
      <x:c r="G8" t="str">
        <x:v>REPORTED RATE</x:v>
      </x:c>
      <x:c r="H8" t="str">
        <x:v>State Taxation Administration of China</x:v>
      </x:c>
      <x:c r="I8" t="str">
        <x:v>NORMALIZED*</x:v>
      </x:c>
      <x:c r="J8" t="str">
        <x:v>Confirm exact Apple retail tax treatment before publication.</x:v>
      </x:c>
    </x:row>
    <x:row r="9">
      <x:c r="A9" t="str">
        <x:v>Japan</x:v>
      </x:c>
      <x:c r="B9" s="160" t="n">
        <x:v>1036.4826623485399</x:v>
      </x:c>
      <x:c r="C9" s="165" t="n">
        <x:v>0.1</x:v>
      </x:c>
      <x:c r="D9" t="str">
        <x:v>Consumption tax used directionally</x:v>
      </x:c>
      <x:c r="E9" s="166" t="n">
        <x:f>IF(C9=0,B9,B9/(1+C9))</x:f>
        <x:v>942.2569657713998</x:v>
      </x:c>
      <x:c r="F9" s="74" t="n">
        <x:f>E9/$E$6-1</x:f>
        <x:v>0.014270146147900675</x:v>
      </x:c>
      <x:c r="G9" t="str">
        <x:v>REPORTED RATE</x:v>
      </x:c>
      <x:c r="H9" t="str">
        <x:v>Japan Ministry of Finance</x:v>
      </x:c>
      <x:c r="I9" t="str">
        <x:v>NORMALIZED*</x:v>
      </x:c>
      <x:c r="J9" t="str">
        <x:v>Confirm exact Apple retail tax treatment before publication.</x:v>
      </x:c>
    </x:row>
    <x:row r="10">
      <x:c r="A10" t="str">
        <x:v>United Arab Emirates</x:v>
      </x:c>
      <x:c r="B10" s="160" t="n">
        <x:v>1034.4452008168823</x:v>
      </x:c>
      <x:c r="C10" s="165" t="n">
        <x:v>0.05</x:v>
      </x:c>
      <x:c r="D10" t="str">
        <x:v>VAT used directionally</x:v>
      </x:c>
      <x:c r="E10" s="166" t="n">
        <x:f>IF(C10=0,B10,B10/(1+C10))</x:f>
        <x:v>985.1859055398879</x:v>
      </x:c>
      <x:c r="F10" s="74" t="n">
        <x:f>E10/$E$6-1</x:f>
        <x:v>0.06047998443475566</x:v>
      </x:c>
      <x:c r="G10" t="str">
        <x:v>REPORTED RATE</x:v>
      </x:c>
      <x:c r="H10" t="str">
        <x:v>UAE Government / FTA</x:v>
      </x:c>
      <x:c r="I10" t="str">
        <x:v>NORMALIZED*</x:v>
      </x:c>
      <x:c r="J10" t="str">
        <x:v>Confirm exact Apple retail tax treatment before publication.</x:v>
      </x:c>
    </x:row>
    <x:row r="11">
      <x:c r="A11" t="str">
        <x:v>Singapore</x:v>
      </x:c>
      <x:c r="B11" s="160" t="n">
        <x:v>1144.149547957311</x:v>
      </x:c>
      <x:c r="C11" s="165" t="n">
        <x:v>0.09</x:v>
      </x:c>
      <x:c r="D11" t="str">
        <x:v>GST-inclusive consumer pricing</x:v>
      </x:c>
      <x:c r="E11" s="166" t="n">
        <x:f>IF(C11=0,B11,B11/(1+C11))</x:f>
        <x:v>1049.6784843645053</x:v>
      </x:c>
      <x:c r="F11" s="74" t="n">
        <x:f>E11/$E$6-1</x:f>
        <x:v>0.12990149016631358</x:v>
      </x:c>
      <x:c r="G11" t="str">
        <x:v>REPORTED RATE</x:v>
      </x:c>
      <x:c r="H11" t="str">
        <x:v>IRAS</x:v>
      </x:c>
      <x:c r="I11" t="str">
        <x:v>NORMALIZED</x:v>
      </x:c>
      <x:c r="J11" t="str">
        <x:v>Standard GST treatment.</x:v>
      </x:c>
    </x:row>
    <x:row r="12">
      <x:c r="A12" t="str">
        <x:v>United Kingdom</x:v>
      </x:c>
      <x:c r="B12" s="160" t="n">
        <x:v>1215.478554385148</x:v>
      </x:c>
      <x:c r="C12" s="165" t="n">
        <x:v>0.2</x:v>
      </x:c>
      <x:c r="D12" t="str">
        <x:v>VAT-inclusive consumer pricing</x:v>
      </x:c>
      <x:c r="E12" s="166" t="n">
        <x:f>IF(C12=0,B12,B12/(1+C12))</x:f>
        <x:v>1012.8987953209568</x:v>
      </x:c>
      <x:c r="F12" s="74" t="n">
        <x:f>E12/$E$6-1</x:f>
        <x:v>0.09031086686862944</x:v>
      </x:c>
      <x:c r="G12" t="str">
        <x:v>REPORTED RATE</x:v>
      </x:c>
      <x:c r="H12" t="str">
        <x:v>GOV.UK</x:v>
      </x:c>
      <x:c r="I12" t="str">
        <x:v>NORMALIZED</x:v>
      </x:c>
      <x:c r="J12" t="str">
        <x:v>Standard VAT treatment.</x:v>
      </x:c>
    </x:row>
    <x:row r="13">
      <x:c r="A13" t="str">
        <x:v>Germany</x:v>
      </x:c>
      <x:c r="B13" s="160" t="n">
        <x:v>1276.5984</x:v>
      </x:c>
      <x:c r="C13" s="165" t="n">
        <x:v>0.19</x:v>
      </x:c>
      <x:c r="D13" t="str">
        <x:v>VAT-inclusive consumer pricing</x:v>
      </x:c>
      <x:c r="E13" s="166" t="n">
        <x:f>IF(C13=0,B13,B13/(1+C13))</x:f>
        <x:v>1072.7717647058826</x:v>
      </x:c>
      <x:c r="F13" s="74" t="n">
        <x:f>E13/$E$6-1</x:f>
        <x:v>0.15475970366618141</x:v>
      </x:c>
      <x:c r="G13" t="str">
        <x:v>REPORTED RATE</x:v>
      </x:c>
      <x:c r="H13" t="str">
        <x:v>German VAT Act §12</x:v>
      </x:c>
      <x:c r="I13" t="str">
        <x:v>NORMALIZED</x:v>
      </x:c>
      <x:c r="J13" t="str">
        <x:v>Standard VAT treatment.</x:v>
      </x:c>
    </x:row>
    <x:row r="14">
      <x:c r="A14" t="str">
        <x:v>Türkiye</x:v>
      </x:c>
      <x:c r="B14" s="160" t="n">
        <x:v>2062.054662036938</x:v>
      </x:c>
      <x:c r="C14" s="165" t="n">
        <x:v>0.2</x:v>
      </x:c>
      <x:c r="D14" t="str">
        <x:v>VAT used directionally</x:v>
      </x:c>
      <x:c r="E14" s="166" t="n">
        <x:f>IF(C14=0,B14,B14/(1+C14))</x:f>
        <x:v>1718.378885030782</x:v>
      </x:c>
      <x:c r="F14" s="74" t="n">
        <x:f>E14/$E$6-1</x:f>
        <x:v>0.8497081647263529</x:v>
      </x:c>
      <x:c r="G14" t="str">
        <x:v>REPORTED RATE</x:v>
      </x:c>
      <x:c r="H14" t="str">
        <x:v>Türkiye Revenue Administration</x:v>
      </x:c>
      <x:c r="I14" t="str">
        <x:v>NORMALIZED*</x:v>
      </x:c>
      <x:c r="J14" t="str">
        <x:v>Other device-specific taxes can be material; do not read as full tax decomposition.</x:v>
      </x:c>
    </x:row>
    <x:row r="15">
      <x:c r="A15" t="str">
        <x:v>Canada</x:v>
      </x:c>
      <x:c r="B15" s="160" t="n">
        <x:v>940.1946538725155</x:v>
      </x:c>
      <x:c r="C15" s="165"/>
      <x:c r="D15" t="str">
        <x:v>Provincial/federal sales taxes vary</x:v>
      </x:c>
      <x:c r="E15" s="166"/>
      <x:c r="F15" s="74"/>
      <x:c r="G15" t="str">
        <x:v>REPORTED STRUCTURE</x:v>
      </x:c>
      <x:c r="H15" t="str">
        <x:v>Government tax rules</x:v>
      </x:c>
      <x:c r="I15" t="str">
        <x:v>NOT NORMALIZED</x:v>
      </x:c>
      <x:c r="J15" t="str">
        <x:v>No single national consumer tax rate.</x:v>
      </x:c>
    </x:row>
    <x:row r="16">
      <x:c r="A16" t="str">
        <x:v>Brazil</x:v>
      </x:c>
      <x:c r="B16" s="160" t="n">
        <x:v>1619.4258836177933</x:v>
      </x:c>
      <x:c r="C16" s="165"/>
      <x:c r="D16" t="str">
        <x:v>Multi-layer indirect tax system</x:v>
      </x:c>
      <x:c r="E16" s="166"/>
      <x:c r="F16" s="74"/>
      <x:c r="G16" t="str">
        <x:v>COMPLEX</x:v>
      </x:c>
      <x:c r="H16" t="str">
        <x:v>Brazil tax system</x:v>
      </x:c>
      <x:c r="I16" t="str">
        <x:v>NOT NORMALIZED</x:v>
      </x:c>
      <x:c r="J16" t="str">
        <x:v>Do not oversimplify with one VAT rate.</x:v>
      </x:c>
    </x:row>
    <x:row r="17">
      <x:c r="A17" t="str">
        <x:v>Australia</x:v>
      </x:c>
      <x:c r="B17" s="160" t="n">
        <x:v>1112.9575060308034</x:v>
      </x:c>
      <x:c r="C17" s="165"/>
      <x:c r="D17" t="str">
        <x:v>Pending source verification</x:v>
      </x:c>
      <x:c r="E17" s="166"/>
      <x:c r="F17" s="74"/>
      <x:c r="G17" t="str">
        <x:v>PENDING</x:v>
      </x:c>
      <x:c r="H17" t="str">
        <x:v>—</x:v>
      </x:c>
      <x:c r="I17" t="str">
        <x:v>NOT NORMALIZED</x:v>
      </x:c>
      <x:c r="J17" t="str">
        <x:v>Held out until source/treatment verified.</x:v>
      </x:c>
    </x:row>
    <x:row r="18">
      <x:c r="A18" t="str">
        <x:v>Hong Kong</x:v>
      </x:c>
      <x:c r="B18" s="160" t="n">
        <x:v>994.6223115180659</x:v>
      </x:c>
      <x:c r="C18" s="165"/>
      <x:c r="D18" t="str">
        <x:v>No normalization applied in this model</x:v>
      </x:c>
      <x:c r="E18" s="166"/>
      <x:c r="F18" s="74"/>
      <x:c r="G18" t="str">
        <x:v>PENDING</x:v>
      </x:c>
      <x:c r="H18" t="str">
        <x:v>—</x:v>
      </x:c>
      <x:c r="I18" t="str">
        <x:v>NOT NORMALIZED</x:v>
      </x:c>
      <x:c r="J18" t="str">
        <x:v>Keep nominal comparison only in this version.</x:v>
      </x:c>
    </x:row>
    <x:row r="20">
      <x:c r="A20" s="164" t="str">
        <x:v>Important India read: removing 18% GST from the current ₹99,900 list price yields an implied pre-GST value of about ₹84.7k (~$887 at the workbook FX rate), below the $929 US unlocked list price before US state/local sales tax. This is a mathematical bridge—not proof that GST is the sole cause of the price gap.</x:v>
      </x:c>
      <x:c r="B20" s="164"/>
      <x:c r="C20" s="164"/>
      <x:c r="D20" s="164"/>
      <x:c r="E20" s="164"/>
      <x:c r="F20" s="164"/>
      <x:c r="G20" s="164"/>
      <x:c r="H20" s="164"/>
      <x:c r="I20" s="164"/>
      <x:c r="J20" s="164"/>
    </x:row>
  </x:sheetData>
  <x:mergeCells>
    <x:mergeCell ref="A3:J3"/>
    <x:mergeCell ref="A20:J20"/>
  </x:mergeCells>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22" hidden="0" customWidth="1"/>
    <x:col min="3" max="3" width="18" hidden="0" customWidth="1"/>
    <x:col min="4" max="4" width="24" hidden="0" customWidth="1"/>
    <x:col min="5" max="5" width="28" hidden="0" customWidth="1"/>
    <x:col min="6" max="6" width="42" hidden="0" customWidth="1"/>
    <x:col min="7" max="7" width="14" hidden="0" customWidth="1"/>
    <x:col min="8" max="8" width="14" hidden="0" customWidth="1"/>
  </x:cols>
  <x:sheetData>
    <x:row r="1" ht="30" customHeight="1">
      <x:c r="A1" s="153" t="str">
        <x:v>India iPhone Manufacturing Scale vs Base-Model Price Timeline</x:v>
      </x:c>
      <x:c r="B1" s="153" t="str">
        <x:v>India iPhone Manufacturing Scale vs Base-Model Price Timeline</x:v>
      </x:c>
      <x:c r="C1" s="153" t="str">
        <x:v>India iPhone Manufacturing Scale vs Base-Model Price Timeline</x:v>
      </x:c>
      <x:c r="D1" s="153" t="str">
        <x:v>India iPhone Manufacturing Scale vs Base-Model Price Timeline</x:v>
      </x:c>
      <x:c r="E1" s="153" t="str">
        <x:v>India iPhone Manufacturing Scale vs Base-Model Price Timeline</x:v>
      </x:c>
      <x:c r="F1" s="153" t="str">
        <x:v>India iPhone Manufacturing Scale vs Base-Model Price Timeline</x:v>
      </x:c>
      <x:c r="G1" s="153" t="str">
        <x:v>India iPhone Manufacturing Scale vs Base-Model Price Timeline</x:v>
      </x:c>
      <x:c r="H1" s="153" t="str">
        <x:v>India iPhone Manufacturing Scale vs Base-Model Price Timeline</x:v>
      </x:c>
    </x:row>
    <x:row r="3">
      <x:c r="A3" s="159" t="str">
        <x:v>Fiscal Year</x:v>
      </x:c>
      <x:c r="B3" s="159" t="str">
        <x:v>India iPhone Production ($B)</x:v>
      </x:c>
      <x:c r="C3" s="159" t="str">
        <x:v>Evidence</x:v>
      </x:c>
      <x:c r="D3" s="159" t="str">
        <x:v>Source</x:v>
      </x:c>
    </x:row>
    <x:row r="4">
      <x:c r="A4" t="str">
        <x:v>FY23</x:v>
      </x:c>
      <x:c r="B4" s="167" t="n">
        <x:v>7</x:v>
      </x:c>
      <x:c r="C4" t="str">
        <x:v>REPORTED: more than $7B; plotted conservatively at $7B</x:v>
      </x:c>
      <x:c r="D4" t="str">
        <x:v>Reuters syndication / Bloomberg reporting</x:v>
      </x:c>
    </x:row>
    <x:row r="5">
      <x:c r="A5" t="str">
        <x:v>FY24</x:v>
      </x:c>
      <x:c r="B5" s="167" t="n">
        <x:v>14</x:v>
      </x:c>
      <x:c r="C5" t="str">
        <x:v>REPORTED</x:v>
      </x:c>
      <x:c r="D5" t="str">
        <x:v>Reuters / Business Standard</x:v>
      </x:c>
    </x:row>
    <x:row r="6">
      <x:c r="A6" t="str">
        <x:v>FY25</x:v>
      </x:c>
      <x:c r="B6" s="167" t="n">
        <x:v>22</x:v>
      </x:c>
      <x:c r="C6" t="str">
        <x:v>REPORTED</x:v>
      </x:c>
      <x:c r="D6" t="str">
        <x:v>Bloomberg / Business Standard</x:v>
      </x:c>
    </x:row>
    <x:row r="7">
      <x:c r="A7" t="str">
        <x:v>FY26</x:v>
      </x:c>
      <x:c r="B7" s="167" t="n">
        <x:v>26</x:v>
      </x:c>
      <x:c r="C7" t="str">
        <x:v>REPORTED</x:v>
      </x:c>
      <x:c r="D7" t="str">
        <x:v>Business Standard</x:v>
      </x:c>
    </x:row>
    <x:row r="10">
      <x:c r="A10" s="159" t="str">
        <x:v>Year</x:v>
      </x:c>
      <x:c r="B10" s="159" t="str">
        <x:v>Model</x:v>
      </x:c>
      <x:c r="C10" s="159" t="str">
        <x:v>Base Storage</x:v>
      </x:c>
      <x:c r="D10" s="159" t="str">
        <x:v>India Launch / Current Price (₹)</x:v>
      </x:c>
      <x:c r="E10" s="159" t="str">
        <x:v>Evidence</x:v>
      </x:c>
      <x:c r="F10" s="159" t="str">
        <x:v>Comparability Note</x:v>
      </x:c>
    </x:row>
    <x:row r="11">
      <x:c r="A11" t="n">
        <x:v>2021</x:v>
      </x:c>
      <x:c r="B11" t="str">
        <x:v>iPhone 13</x:v>
      </x:c>
      <x:c r="C11" t="str">
        <x:v>128GB</x:v>
      </x:c>
      <x:c r="D11" s="168" t="n">
        <x:v>79900</x:v>
      </x:c>
      <x:c r="E11" t="str">
        <x:v>REPORTED — Apple India</x:v>
      </x:c>
      <x:c r="F11" t="str">
        <x:v>Base-model launch price</x:v>
      </x:c>
    </x:row>
    <x:row r="12">
      <x:c r="A12" t="n">
        <x:v>2022</x:v>
      </x:c>
      <x:c r="B12" t="str">
        <x:v>iPhone 14</x:v>
      </x:c>
      <x:c r="C12" t="str">
        <x:v>128GB</x:v>
      </x:c>
      <x:c r="D12" s="168" t="n">
        <x:v>79900</x:v>
      </x:c>
      <x:c r="E12" t="str">
        <x:v>REPORTED — Apple India</x:v>
      </x:c>
      <x:c r="F12" t="str">
        <x:v>Base-model launch price</x:v>
      </x:c>
    </x:row>
    <x:row r="13">
      <x:c r="A13" t="n">
        <x:v>2023</x:v>
      </x:c>
      <x:c r="B13" t="str">
        <x:v>iPhone 15</x:v>
      </x:c>
      <x:c r="C13" t="str">
        <x:v>128GB</x:v>
      </x:c>
      <x:c r="D13" s="168" t="n">
        <x:v>79900</x:v>
      </x:c>
      <x:c r="E13" t="str">
        <x:v>REPORTED — Apple India</x:v>
      </x:c>
      <x:c r="F13" t="str">
        <x:v>Base-model launch price</x:v>
      </x:c>
    </x:row>
    <x:row r="14">
      <x:c r="A14" t="n">
        <x:v>2024</x:v>
      </x:c>
      <x:c r="B14" t="str">
        <x:v>iPhone 16</x:v>
      </x:c>
      <x:c r="C14" t="str">
        <x:v>128GB</x:v>
      </x:c>
      <x:c r="D14" s="168" t="n">
        <x:v>79900</x:v>
      </x:c>
      <x:c r="E14" t="str">
        <x:v>REPORTED — Apple India</x:v>
      </x:c>
      <x:c r="F14" t="str">
        <x:v>Base-model launch price</x:v>
      </x:c>
    </x:row>
    <x:row r="15">
      <x:c r="A15" t="n">
        <x:v>2025</x:v>
      </x:c>
      <x:c r="B15" t="str">
        <x:v>iPhone 17</x:v>
      </x:c>
      <x:c r="C15" t="str">
        <x:v>256GB</x:v>
      </x:c>
      <x:c r="D15" s="168" t="n">
        <x:v>82900</x:v>
      </x:c>
      <x:c r="E15" t="str">
        <x:v>REPORTED — Apple India</x:v>
      </x:c>
      <x:c r="F15" t="str">
        <x:v>Storage doubled vs prior base models; not like-for-like inflation</x:v>
      </x:c>
    </x:row>
    <x:row r="16">
      <x:c r="A16" t="n">
        <x:v>2026</x:v>
      </x:c>
      <x:c r="B16" t="str">
        <x:v>iPhone 17 (current)</x:v>
      </x:c>
      <x:c r="C16" t="str">
        <x:v>256GB</x:v>
      </x:c>
      <x:c r="D16" s="168" t="n">
        <x:v>99900</x:v>
      </x:c>
      <x:c r="E16" t="str">
        <x:v>REPORTED — Reuters / Apple India</x:v>
      </x:c>
      <x:c r="F16" t="str">
        <x:v>Same 256GB model repriced; comparable with 2025 iPhone 17 launch</x:v>
      </x:c>
    </x:row>
    <x:row r="18">
      <x:c r="A18" s="170" t="str">
        <x:v>Analytical read: India production scaled from &gt;$7B in FY23 to ~$26B in FY26 (~3.7×), while base-model launch pricing stayed near ₹79,900 through iPhone 16. iPhone 17 launched at ₹82,900 with 256GB base storage, then rose to ₹99,900 in 2026. Manufacturing scale therefore does not mechanically map to lower list prices.</x:v>
      </x:c>
      <x:c r="B18" s="170"/>
      <x:c r="C18" s="170"/>
      <x:c r="D18" s="170"/>
      <x:c r="E18" s="170"/>
      <x:c r="F18" s="170"/>
      <x:c r="G18" s="170"/>
      <x:c r="H18" s="170"/>
    </x:row>
  </x:sheetData>
  <x:mergeCells>
    <x:mergeCell ref="A18:H18"/>
  </x:mergeCells>
  <x:pageMargins left="0.7" right="0.7" top="0.75" bottom="0.75" header="0.3" footer="0.3"/>
  <x:drawing xmlns:r="http://schemas.openxmlformats.org/officeDocument/2006/relationships" r:id="R6f74f5e6ef724c21"/>
</x:worksheet>
</file>

<file path=xl/worksheets/sheet12.xml><?xml version="1.0" encoding="utf-8"?>
<x:worksheet xmlns:x="http://schemas.openxmlformats.org/spreadsheetml/2006/main">
  <x:sheetFormatPr defaultRowHeight="15"/>
  <x:cols>
    <x:col min="1" max="1" width="26" hidden="0" customWidth="1"/>
    <x:col min="2" max="2" width="18" hidden="0" customWidth="1"/>
    <x:col min="3" max="3" width="22" hidden="0" customWidth="1"/>
    <x:col min="4" max="4" width="26" hidden="0" customWidth="1"/>
    <x:col min="5" max="5" width="18" hidden="0" customWidth="1"/>
    <x:col min="6" max="6" width="24" hidden="0" customWidth="1"/>
    <x:col min="7" max="7" width="18" hidden="0" customWidth="1"/>
    <x:col min="8" max="8" width="30" hidden="0" customWidth="1"/>
  </x:cols>
  <x:sheetData>
    <x:row r="1" ht="30" customHeight="1">
      <x:c r="A1" s="176" t="str">
        <x:v>Total Cost of Ownership — iPhone 17 256GB (India)</x:v>
      </x:c>
      <x:c r="B1" s="176"/>
      <x:c r="C1" s="176"/>
      <x:c r="D1" s="176"/>
      <x:c r="E1" s="176"/>
      <x:c r="F1" s="176"/>
      <x:c r="G1" s="176"/>
      <x:c r="H1" s="176"/>
    </x:row>
    <x:row r="3">
      <x:c r="A3" s="179" t="str">
        <x:v>MODELED consumer-cost view. Resale rates, financing cost, repair/coverage cost and ownership period are scenario assumptions — not Apple-reported economics.</x:v>
      </x:c>
      <x:c r="B3" s="179"/>
      <x:c r="C3" s="179"/>
      <x:c r="D3" s="179"/>
      <x:c r="E3" s="179"/>
      <x:c r="F3" s="179"/>
      <x:c r="G3" s="179"/>
      <x:c r="H3" s="179"/>
    </x:row>
    <x:row r="5">
      <x:c r="A5" s="181" t="str">
        <x:v>Editable Assumptions</x:v>
      </x:c>
      <x:c r="B5" s="181"/>
      <x:c r="C5" s="181"/>
      <x:c r="D5" s="181"/>
      <x:c r="F5" s="181" t="str">
        <x:v>Calculated Ownership Economics</x:v>
      </x:c>
      <x:c r="G5" s="181"/>
      <x:c r="H5" s="181"/>
    </x:row>
    <x:row r="6">
      <x:c r="A6" s="181" t="str">
        <x:v>Input</x:v>
      </x:c>
      <x:c r="B6" s="181" t="str">
        <x:v>Value</x:v>
      </x:c>
      <x:c r="C6" s="181" t="str">
        <x:v>Unit / Meaning</x:v>
      </x:c>
      <x:c r="D6" s="181" t="str">
        <x:v>Evidence</x:v>
      </x:c>
      <x:c r="F6" s="181" t="str">
        <x:v>Metric</x:v>
      </x:c>
      <x:c r="G6" s="181" t="str">
        <x:v>Formula / Result</x:v>
      </x:c>
      <x:c r="H6" s="181" t="str">
        <x:v>Interpretation</x:v>
      </x:c>
    </x:row>
    <x:row r="7">
      <x:c r="A7" t="str">
        <x:v>Purchase price</x:v>
      </x:c>
      <x:c r="B7" s="183" t="n">
        <x:f>Country_Prices!C7</x:f>
        <x:v>99900</x:v>
      </x:c>
      <x:c r="C7" t="str">
        <x:v>₹</x:v>
      </x:c>
      <x:c r="D7" t="str">
        <x:v>REPORTED / linked from Country_Prices</x:v>
      </x:c>
      <x:c r="F7" t="str">
        <x:v>Expected resale value</x:v>
      </x:c>
      <x:c r="G7" s="188" t="n">
        <x:f>$B$7*$B$9</x:f>
        <x:v>39960</x:v>
      </x:c>
      <x:c r="H7" t="str">
        <x:v>Cash recovered at exit</x:v>
      </x:c>
    </x:row>
    <x:row r="8">
      <x:c r="A8" t="str">
        <x:v>Ownership period</x:v>
      </x:c>
      <x:c r="B8" s="184" t="n">
        <x:v>3</x:v>
      </x:c>
      <x:c r="C8" t="str">
        <x:v>years</x:v>
      </x:c>
      <x:c r="D8" t="str">
        <x:v>MODELED</x:v>
      </x:c>
      <x:c r="F8" t="str">
        <x:v>Financing cost</x:v>
      </x:c>
      <x:c r="G8" s="188" t="n">
        <x:f>$B$7*$B$10</x:f>
        <x:v>0</x:v>
      </x:c>
      <x:c r="H8" t="str">
        <x:v>Economic financing cost</x:v>
      </x:c>
    </x:row>
    <x:row r="9">
      <x:c r="A9" t="str">
        <x:v>Resale value</x:v>
      </x:c>
      <x:c r="B9" s="185" t="n">
        <x:v>0.4</x:v>
      </x:c>
      <x:c r="C9" t="str">
        <x:v>% of purchase price</x:v>
      </x:c>
      <x:c r="D9" t="str">
        <x:v>MODELED</x:v>
      </x:c>
      <x:c r="F9" t="str">
        <x:v>Net ownership cost</x:v>
      </x:c>
      <x:c r="G9" s="188" t="n">
        <x:f>$B$7+G8+$B$11+$B$12-G7</x:f>
        <x:v>59940</x:v>
      </x:c>
      <x:c r="H9" t="str">
        <x:v>Purchase + costs − resale</x:v>
      </x:c>
    </x:row>
    <x:row r="10">
      <x:c r="A10" t="str">
        <x:v>Financing cost</x:v>
      </x:c>
      <x:c r="B10" s="185" t="n">
        <x:v>0</x:v>
      </x:c>
      <x:c r="C10" t="str">
        <x:v>% of purchase price</x:v>
      </x:c>
      <x:c r="D10" t="str">
        <x:v>MODELED</x:v>
      </x:c>
      <x:c r="F10" t="str">
        <x:v>Annualized cost</x:v>
      </x:c>
      <x:c r="G10" s="188" t="n">
        <x:f>G9/$B$8</x:f>
        <x:v>19980</x:v>
      </x:c>
      <x:c r="H10" t="str">
        <x:v>Economic cost per year</x:v>
      </x:c>
    </x:row>
    <x:row r="11">
      <x:c r="A11" t="str">
        <x:v>Repair / coverage cost</x:v>
      </x:c>
      <x:c r="B11" s="186" t="n">
        <x:v>0</x:v>
      </x:c>
      <x:c r="C11" t="str">
        <x:v>₹ total over ownership</x:v>
      </x:c>
      <x:c r="D11" t="str">
        <x:v>MODELED</x:v>
      </x:c>
      <x:c r="F11" t="str">
        <x:v>Monthly ownership cost</x:v>
      </x:c>
      <x:c r="G11" s="188" t="n">
        <x:f>G9/($B$8*12)</x:f>
        <x:v>1665</x:v>
      </x:c>
      <x:c r="H11" t="str">
        <x:v>Economic cost per month</x:v>
      </x:c>
    </x:row>
    <x:row r="12">
      <x:c r="A12" t="str">
        <x:v>Other ownership cost</x:v>
      </x:c>
      <x:c r="B12" s="186" t="n">
        <x:v>0</x:v>
      </x:c>
      <x:c r="C12" t="str">
        <x:v>₹ total over ownership</x:v>
      </x:c>
      <x:c r="D12" t="str">
        <x:v>MODELED</x:v>
      </x:c>
      <x:c r="F12" t="str">
        <x:v>Cost retained after resale</x:v>
      </x:c>
      <x:c r="G12" s="189" t="n">
        <x:f>G9/$B$7</x:f>
        <x:v>0.6</x:v>
      </x:c>
      <x:c r="H12" t="str">
        <x:v>% of purchase price ultimately consumed</x:v>
      </x:c>
    </x:row>
    <x:row r="15">
      <x:c r="A15" s="190" t="str">
        <x:v>Scenario Analysis — How holding period and resale value change effective cost</x:v>
      </x:c>
      <x:c r="B15" s="190"/>
      <x:c r="C15" s="190"/>
      <x:c r="D15" s="190"/>
      <x:c r="E15" s="190"/>
      <x:c r="F15" s="190"/>
      <x:c r="G15" s="190"/>
      <x:c r="H15" s="190"/>
    </x:row>
    <x:row r="17">
      <x:c r="A17" s="181" t="str">
        <x:v>Scenario</x:v>
      </x:c>
      <x:c r="B17" s="181" t="str">
        <x:v>Years</x:v>
      </x:c>
      <x:c r="C17" s="181" t="str">
        <x:v>Resale %</x:v>
      </x:c>
      <x:c r="D17" s="181" t="str">
        <x:v>Financing %</x:v>
      </x:c>
      <x:c r="E17" s="181" t="str">
        <x:v>Repair / Coverage</x:v>
      </x:c>
      <x:c r="F17" s="181" t="str">
        <x:v>Net Cost</x:v>
      </x:c>
      <x:c r="G17" s="181" t="str">
        <x:v>Annual Cost</x:v>
      </x:c>
      <x:c r="H17" s="181" t="str">
        <x:v>Monthly Cost</x:v>
      </x:c>
    </x:row>
    <x:row r="18">
      <x:c r="A18" t="str">
        <x:v>2-year hold</x:v>
      </x:c>
      <x:c r="B18" t="n">
        <x:v>2</x:v>
      </x:c>
      <x:c r="C18" s="165" t="n">
        <x:v>0.55</x:v>
      </x:c>
      <x:c r="D18" s="165" t="n">
        <x:v>0</x:v>
      </x:c>
      <x:c r="E18" s="187" t="n">
        <x:v>0</x:v>
      </x:c>
      <x:c r="F18" s="187" t="n">
        <x:f>$B$7+($B$7*D18)+E18-($B$7*C18)</x:f>
        <x:v>44954.99999999999</x:v>
      </x:c>
      <x:c r="G18" s="187" t="n">
        <x:f>F18/B18</x:f>
        <x:v>22477.499999999996</x:v>
      </x:c>
      <x:c r="H18" s="187" t="n">
        <x:f>G18/12</x:f>
        <x:v>1873.1249999999998</x:v>
      </x:c>
    </x:row>
    <x:row r="19">
      <x:c r="A19" t="str">
        <x:v>3-year hold</x:v>
      </x:c>
      <x:c r="B19" t="n">
        <x:v>3</x:v>
      </x:c>
      <x:c r="C19" s="165" t="n">
        <x:v>0.4</x:v>
      </x:c>
      <x:c r="D19" s="165" t="n">
        <x:v>0</x:v>
      </x:c>
      <x:c r="E19" s="187" t="n">
        <x:v>0</x:v>
      </x:c>
      <x:c r="F19" s="187" t="n">
        <x:f>$B$7+($B$7*D19)+E19-($B$7*C19)</x:f>
        <x:v>59940</x:v>
      </x:c>
      <x:c r="G19" s="187" t="n">
        <x:f>F19/B19</x:f>
        <x:v>19980</x:v>
      </x:c>
      <x:c r="H19" s="187" t="n">
        <x:f>G19/12</x:f>
        <x:v>1665</x:v>
      </x:c>
    </x:row>
    <x:row r="20">
      <x:c r="A20" t="str">
        <x:v>4-year hold</x:v>
      </x:c>
      <x:c r="B20" t="n">
        <x:v>4</x:v>
      </x:c>
      <x:c r="C20" s="165" t="n">
        <x:v>0.3</x:v>
      </x:c>
      <x:c r="D20" s="165" t="n">
        <x:v>0</x:v>
      </x:c>
      <x:c r="E20" s="187" t="n">
        <x:v>0</x:v>
      </x:c>
      <x:c r="F20" s="187" t="n">
        <x:f>$B$7+($B$7*D20)+E20-($B$7*C20)</x:f>
        <x:v>69930</x:v>
      </x:c>
      <x:c r="G20" s="187" t="n">
        <x:f>F20/B20</x:f>
        <x:v>17482.5</x:v>
      </x:c>
      <x:c r="H20" s="187" t="n">
        <x:f>G20/12</x:f>
        <x:v>1456.875</x:v>
      </x:c>
    </x:row>
    <x:row r="21">
      <x:c r="A21" t="str">
        <x:v>5-year hold</x:v>
      </x:c>
      <x:c r="B21" t="n">
        <x:v>5</x:v>
      </x:c>
      <x:c r="C21" s="165" t="n">
        <x:v>0.22</x:v>
      </x:c>
      <x:c r="D21" s="165" t="n">
        <x:v>0</x:v>
      </x:c>
      <x:c r="E21" s="187" t="n">
        <x:v>0</x:v>
      </x:c>
      <x:c r="F21" s="187" t="n">
        <x:f>$B$7+($B$7*D21)+E21-($B$7*C21)</x:f>
        <x:v>77922</x:v>
      </x:c>
      <x:c r="G21" s="187" t="n">
        <x:f>F21/B21</x:f>
        <x:v>15584.4</x:v>
      </x:c>
      <x:c r="H21" s="187" t="n">
        <x:f>G21/12</x:f>
        <x:v>1298.7</x:v>
      </x:c>
    </x:row>
    <x:row r="22">
      <x:c r="A22" t="str">
        <x:v>3-year + 8% financing + ₹10k repairs</x:v>
      </x:c>
      <x:c r="B22" t="n">
        <x:v>3</x:v>
      </x:c>
      <x:c r="C22" s="165" t="n">
        <x:v>0.4</x:v>
      </x:c>
      <x:c r="D22" s="165" t="n">
        <x:v>0.08</x:v>
      </x:c>
      <x:c r="E22" s="187" t="n">
        <x:v>10000</x:v>
      </x:c>
      <x:c r="F22" s="187" t="n">
        <x:f>$B$7+($B$7*D22)+E22-($B$7*C22)</x:f>
        <x:v>77932</x:v>
      </x:c>
      <x:c r="G22" s="187" t="n">
        <x:f>F22/B22</x:f>
        <x:v>25977.333333333332</x:v>
      </x:c>
      <x:c r="H22" s="187" t="n">
        <x:f>G22/12</x:f>
        <x:v>2164.777777777778</x:v>
      </x:c>
    </x:row>
    <x:row r="25">
      <x:c r="A25" s="190" t="str">
        <x:v>Sensitivity — Monthly Ownership Cost (₹)</x:v>
      </x:c>
      <x:c r="B25" s="190"/>
      <x:c r="C25" s="190"/>
      <x:c r="D25" s="190"/>
      <x:c r="E25" s="190"/>
      <x:c r="F25" s="190"/>
      <x:c r="G25" s="190"/>
      <x:c r="H25" s="190"/>
    </x:row>
    <x:row r="27">
      <x:c r="A27" s="181" t="str">
        <x:v>Resale % \ Years</x:v>
      </x:c>
      <x:c r="B27" s="181" t="n">
        <x:v>2</x:v>
      </x:c>
      <x:c r="C27" s="181" t="n">
        <x:v>3</x:v>
      </x:c>
      <x:c r="D27" s="181" t="n">
        <x:v>4</x:v>
      </x:c>
      <x:c r="E27" s="181" t="n">
        <x:v>5</x:v>
      </x:c>
      <x:c r="F27"/>
    </x:row>
    <x:row r="28">
      <x:c r="A28" s="165" t="n">
        <x:v>0.2</x:v>
      </x:c>
      <x:c r="B28" s="187" t="n">
        <x:f>($B$7-($B$7*$A28))/(B$27*12)</x:f>
        <x:v>3330</x:v>
      </x:c>
      <x:c r="C28" s="187" t="n">
        <x:f>($B$7-($B$7*$A28))/(C$27*12)</x:f>
        <x:v>2220</x:v>
      </x:c>
      <x:c r="D28" s="187" t="n">
        <x:f>($B$7-($B$7*$A28))/(D$27*12)</x:f>
        <x:v>1665</x:v>
      </x:c>
      <x:c r="E28" s="187" t="n">
        <x:f>($B$7-($B$7*$A28))/(E$27*12)</x:f>
        <x:v>1332</x:v>
      </x:c>
      <x:c r="F28"/>
    </x:row>
    <x:row r="29">
      <x:c r="A29" s="165" t="n">
        <x:v>0.3</x:v>
      </x:c>
      <x:c r="B29" s="187" t="n">
        <x:f>($B$7-($B$7*$A29))/(B$27*12)</x:f>
        <x:v>2913.75</x:v>
      </x:c>
      <x:c r="C29" s="187" t="n">
        <x:f>($B$7-($B$7*$A29))/(C$27*12)</x:f>
        <x:v>1942.5</x:v>
      </x:c>
      <x:c r="D29" s="187" t="n">
        <x:f>($B$7-($B$7*$A29))/(D$27*12)</x:f>
        <x:v>1456.875</x:v>
      </x:c>
      <x:c r="E29" s="187" t="n">
        <x:f>($B$7-($B$7*$A29))/(E$27*12)</x:f>
        <x:v>1165.5</x:v>
      </x:c>
      <x:c r="F29"/>
    </x:row>
    <x:row r="30">
      <x:c r="A30" s="165" t="n">
        <x:v>0.4</x:v>
      </x:c>
      <x:c r="B30" s="187" t="n">
        <x:f>($B$7-($B$7*$A30))/(B$27*12)</x:f>
        <x:v>2497.5</x:v>
      </x:c>
      <x:c r="C30" s="187" t="n">
        <x:f>($B$7-($B$7*$A30))/(C$27*12)</x:f>
        <x:v>1665</x:v>
      </x:c>
      <x:c r="D30" s="187" t="n">
        <x:f>($B$7-($B$7*$A30))/(D$27*12)</x:f>
        <x:v>1248.75</x:v>
      </x:c>
      <x:c r="E30" s="187" t="n">
        <x:f>($B$7-($B$7*$A30))/(E$27*12)</x:f>
        <x:v>999</x:v>
      </x:c>
      <x:c r="F30"/>
    </x:row>
    <x:row r="31">
      <x:c r="A31" s="165" t="n">
        <x:v>0.5</x:v>
      </x:c>
      <x:c r="B31" s="187" t="n">
        <x:f>($B$7-($B$7*$A31))/(B$27*12)</x:f>
        <x:v>2081.25</x:v>
      </x:c>
      <x:c r="C31" s="187" t="n">
        <x:f>($B$7-($B$7*$A31))/(C$27*12)</x:f>
        <x:v>1387.5</x:v>
      </x:c>
      <x:c r="D31" s="187" t="n">
        <x:f>($B$7-($B$7*$A31))/(D$27*12)</x:f>
        <x:v>1040.625</x:v>
      </x:c>
      <x:c r="E31" s="187" t="n">
        <x:f>($B$7-($B$7*$A31))/(E$27*12)</x:f>
        <x:v>832.5</x:v>
      </x:c>
      <x:c r="F31"/>
    </x:row>
    <x:row r="32">
      <x:c r="A32" s="165" t="n">
        <x:v>0.6</x:v>
      </x:c>
      <x:c r="B32" s="187" t="n">
        <x:f>($B$7-($B$7*$A32))/(B$27*12)</x:f>
        <x:v>1665</x:v>
      </x:c>
      <x:c r="C32" s="187" t="n">
        <x:f>($B$7-($B$7*$A32))/(C$27*12)</x:f>
        <x:v>1110</x:v>
      </x:c>
      <x:c r="D32" s="187" t="n">
        <x:f>($B$7-($B$7*$A32))/(D$27*12)</x:f>
        <x:v>832.5</x:v>
      </x:c>
      <x:c r="E32" s="187" t="n">
        <x:f>($B$7-($B$7*$A32))/(E$27*12)</x:f>
        <x:v>666</x:v>
      </x:c>
      <x:c r="F32"/>
    </x:row>
    <x:row r="35">
      <x:c r="A35" s="181" t="str">
        <x:v>Analyst Takeaways</x:v>
      </x:c>
      <x:c r="B35" s="181"/>
      <x:c r="C35" s="181"/>
      <x:c r="D35" s="181"/>
      <x:c r="E35" s="181"/>
      <x:c r="F35" s="181"/>
      <x:c r="G35" s="181"/>
      <x:c r="H35" s="181"/>
    </x:row>
    <x:row r="36">
      <x:c r="A36" s="191" t="str">
        <x:v>1</x:v>
      </x:c>
      <x:c r="B36" s="16" t="str">
        <x:v>Sticker price is not the same as economic ownership cost.</x:v>
      </x:c>
      <x:c r="C36" s="16"/>
      <x:c r="D36" s="16"/>
      <x:c r="E36" s="16"/>
      <x:c r="F36" s="16"/>
      <x:c r="G36" s="16"/>
      <x:c r="H36" s="16"/>
    </x:row>
    <x:row r="37">
      <x:c r="A37" s="191" t="str">
        <x:v>2</x:v>
      </x:c>
      <x:c r="B37" s="16" t="str">
        <x:v>Resale value and holding period can materially change monthly/annualized cost.</x:v>
      </x:c>
      <x:c r="C37" s="16"/>
      <x:c r="D37" s="16"/>
      <x:c r="E37" s="16"/>
      <x:c r="F37" s="16"/>
      <x:c r="G37" s="16"/>
      <x:c r="H37" s="16"/>
    </x:row>
    <x:row r="38">
      <x:c r="A38" s="191" t="str">
        <x:v>3</x:v>
      </x:c>
      <x:c r="B38" s="16" t="str">
        <x:v>Financing improves cash-flow timing; unless truly zero-cost, it can raise total economic cost.</x:v>
      </x:c>
      <x:c r="C38" s="16"/>
      <x:c r="D38" s="16"/>
      <x:c r="E38" s="16"/>
      <x:c r="F38" s="16"/>
      <x:c r="G38" s="16"/>
      <x:c r="H38" s="16"/>
    </x:row>
    <x:row r="39">
      <x:c r="A39" s="191" t="str">
        <x:v>4</x:v>
      </x:c>
      <x:c r="B39" s="16" t="str">
        <x:v>All resale and repair assumptions are MODELED and should be stress-tested rather than presented as observed Apple economics.</x:v>
      </x:c>
      <x:c r="C39" s="16"/>
      <x:c r="D39" s="16"/>
      <x:c r="E39" s="16"/>
      <x:c r="F39" s="16"/>
      <x:c r="G39" s="16"/>
      <x:c r="H39" s="16"/>
    </x:row>
  </x:sheetData>
  <x:mergeCells>
    <x:mergeCell ref="A1:H1"/>
    <x:mergeCell ref="A3:H3"/>
    <x:mergeCell ref="A5:D5"/>
    <x:mergeCell ref="F5:H5"/>
    <x:mergeCell ref="A15:H15"/>
    <x:mergeCell ref="A25:H25"/>
    <x:mergeCell ref="A35:H35"/>
    <x:mergeCell ref="B36:H36"/>
    <x:mergeCell ref="B37:H37"/>
    <x:mergeCell ref="B38:H38"/>
    <x:mergeCell ref="B39:H39"/>
  </x:mergeCells>
  <x:conditionalFormatting sqref="B28:E32">
    <x:cfRule type="dataBar" priority="1">
      <x:dataBar>
        <x:cfvo type="min"/>
        <x:cfvo type="max"/>
        <x:color rgb="FFA02B93"/>
      </x:dataBar>
      <x:extLst>
        <x:ext xmlns:x14="http://schemas.microsoft.com/office/spreadsheetml/2009/9/main" uri="{B025F937-C7B1-47D3-B67F-A62EFF666E3E}">
          <x14:id>{D69FDE77-25FD-FABC-5B1A-D23401A74DC7}</x14:id>
        </x:ext>
      </x:extLst>
    </x:cfRule>
  </x:conditionalFormatting>
  <x:dataValidations count="3">
    <x:dataValidation type="list" sqref="B8">
      <x:formula1>"2,3,4,5"</x:formula1>
    </x:dataValidation>
    <x:dataValidation type="list" sqref="B9">
      <x:formula1>"0.2,0.3,0.4,0.5,0.6"</x:formula1>
    </x:dataValidation>
    <x:dataValidation type="list" sqref="B10">
      <x:formula1>"0,0.04,0.08,0.12"</x:formula1>
    </x:dataValidation>
  </x:dataValidations>
  <x:pageMargins left="0.7" right="0.7" top="0.75" bottom="0.75" header="0.3" footer="0.3"/>
  <x:drawing xmlns:r="http://schemas.openxmlformats.org/officeDocument/2006/relationships" r:id="R7a64846d02094add"/>
  <x:extLst>
    <x:ext xmlns:x14="http://schemas.microsoft.com/office/spreadsheetml/2009/9/main" xmlns:xm="http://schemas.microsoft.com/office/excel/2006/main" uri="{78C0D931-6437-407d-A8EE-F0AAD7539E65}">
      <x14:conditionalFormattings>
        <x14:conditionalFormatting>
          <x14:cfRule type="dataBar" priority="1" id="{D69FDE77-25FD-FABC-5B1A-D23401A74DC7}">
            <x14:dataBar gradient="1">
              <x14:cfvo type="min"/>
              <x14:cfvo type="max"/>
              <x14:fillColor rgb="FFA02B93"/>
            </x14:dataBar>
          </x14:cfRule>
          <xm:sqref>B28:E32</xm:sqref>
        </x14:conditionalFormatting>
      </x14:conditionalFormattings>
    </x:ext>
  </x:extLst>
</x:worksheet>
</file>

<file path=xl/worksheets/sheet13.xml><?xml version="1.0" encoding="utf-8"?>
<x:worksheet xmlns:x="http://schemas.openxmlformats.org/spreadsheetml/2006/main">
  <x:sheetFormatPr defaultRowHeight="15"/>
  <x:cols>
    <x:col min="1" max="1" width="28" hidden="0" customWidth="1"/>
    <x:col min="2" max="2" width="18" hidden="0" customWidth="1"/>
    <x:col min="3" max="3" width="16" hidden="0" customWidth="1"/>
    <x:col min="4" max="4" width="34" hidden="0" customWidth="1"/>
    <x:col min="5" max="5" width="16" hidden="0" customWidth="1"/>
    <x:col min="6" max="6" width="14" hidden="0" customWidth="1"/>
    <x:col min="7" max="7" width="14" hidden="0" customWidth="1"/>
    <x:col min="8" max="8" width="18" hidden="0" customWidth="1"/>
    <x:col min="9" max="9" width="18" hidden="0" customWidth="1"/>
    <x:col min="10" max="10" width="18" hidden="0" customWidth="1"/>
  </x:cols>
  <x:sheetData>
    <x:row r="1">
      <x:c r="A1" s="204" t="str">
        <x:v>iPhone 17 vs Galaxy S26 — Total Cost of Ownership Comparison</x:v>
      </x:c>
      <x:c r="B1" s="204"/>
      <x:c r="C1" s="204"/>
      <x:c r="D1" s="204"/>
      <x:c r="E1" s="204"/>
      <x:c r="F1" s="204"/>
      <x:c r="G1" s="204"/>
      <x:c r="H1" s="204"/>
      <x:c r="I1" s="204"/>
      <x:c r="J1" s="204"/>
    </x:row>
    <x:row r="3">
      <x:c r="A3" s="207" t="str">
        <x:v>Benchmark added with approval: Samsung Galaxy S26 256GB. Base comparison intentionally uses identical MODELED resale, financing and repair assumptions so the first result isolates purchase-price economics rather than inventing brand-specific resale behavior.</x:v>
      </x:c>
      <x:c r="B3" s="207"/>
      <x:c r="C3" s="207"/>
      <x:c r="D3" s="207"/>
      <x:c r="E3" s="207"/>
      <x:c r="F3" s="207"/>
      <x:c r="G3" s="207"/>
      <x:c r="H3" s="207"/>
      <x:c r="I3" s="207"/>
      <x:c r="J3" s="207"/>
    </x:row>
    <x:row r="5">
      <x:c r="A5" s="210" t="str">
        <x:v>Device</x:v>
      </x:c>
      <x:c r="B5" s="210" t="str">
        <x:v>Storage</x:v>
      </x:c>
      <x:c r="C5" s="210" t="str">
        <x:v>India Price</x:v>
      </x:c>
      <x:c r="D5" s="210" t="str">
        <x:v>Price Evidence</x:v>
      </x:c>
      <x:c r="E5" s="210" t="str">
        <x:v>Ownership Years</x:v>
      </x:c>
      <x:c r="F5" s="210" t="str">
        <x:v>Resale %</x:v>
      </x:c>
      <x:c r="G5" s="210" t="str">
        <x:v>Financing %</x:v>
      </x:c>
      <x:c r="H5" s="210" t="str">
        <x:v>Repair Cost</x:v>
      </x:c>
      <x:c r="I5" s="210" t="str">
        <x:v>Net Ownership Cost</x:v>
      </x:c>
      <x:c r="J5" s="210" t="str">
        <x:v>Monthly Cost</x:v>
      </x:c>
    </x:row>
    <x:row r="6">
      <x:c r="A6" t="str">
        <x:v>Apple iPhone 17</x:v>
      </x:c>
      <x:c r="B6" t="str">
        <x:v>256GB</x:v>
      </x:c>
      <x:c r="C6" s="183" t="n">
        <x:f>TCO_Model!B7</x:f>
        <x:v>99900</x:v>
      </x:c>
      <x:c r="D6" t="str">
        <x:v>REPORTED — Apple India</x:v>
      </x:c>
      <x:c r="E6" s="213" t="n">
        <x:v>3</x:v>
      </x:c>
      <x:c r="F6" s="214" t="n">
        <x:v>0.4</x:v>
      </x:c>
      <x:c r="G6" s="214" t="n">
        <x:v>0</x:v>
      </x:c>
      <x:c r="H6" s="215" t="n">
        <x:v>0</x:v>
      </x:c>
      <x:c r="I6" s="187" t="n">
        <x:f>C6+(C6*G6)+H6-(C6*F6)</x:f>
        <x:v>59940</x:v>
      </x:c>
      <x:c r="J6" s="187" t="n">
        <x:f>I6/(E6*12)</x:f>
        <x:v>1665</x:v>
      </x:c>
    </x:row>
    <x:row r="7">
      <x:c r="A7" t="str">
        <x:v>Samsung Galaxy S26</x:v>
      </x:c>
      <x:c r="B7" t="str">
        <x:v>256GB</x:v>
      </x:c>
      <x:c r="C7" s="168" t="n">
        <x:v>87999</x:v>
      </x:c>
      <x:c r="D7" t="str">
        <x:v>REPORTED — Samsung India launch price</x:v>
      </x:c>
      <x:c r="E7" s="213" t="n">
        <x:v>3</x:v>
      </x:c>
      <x:c r="F7" s="214" t="n">
        <x:v>0.4</x:v>
      </x:c>
      <x:c r="G7" s="214" t="n">
        <x:v>0</x:v>
      </x:c>
      <x:c r="H7" s="215" t="n">
        <x:v>0</x:v>
      </x:c>
      <x:c r="I7" s="187" t="n">
        <x:f>C7+(C7*G7)+H7-(C7*F7)</x:f>
        <x:v>52799.4</x:v>
      </x:c>
      <x:c r="J7" s="187" t="n">
        <x:f>I7/(E7*12)</x:f>
        <x:v>1466.65</x:v>
      </x:c>
    </x:row>
    <x:row r="10">
      <x:c r="A10" s="216" t="str">
        <x:v>What the equal-assumption baseline tells us</x:v>
      </x:c>
      <x:c r="B10" s="216"/>
      <x:c r="C10" s="216"/>
      <x:c r="D10" s="216"/>
      <x:c r="E10" s="216"/>
      <x:c r="F10" s="216"/>
      <x:c r="G10" s="216"/>
      <x:c r="H10" s="216"/>
      <x:c r="I10" s="216"/>
      <x:c r="J10" s="216"/>
    </x:row>
    <x:row r="12">
      <x:c r="A12" s="209" t="str">
        <x:v>Metric</x:v>
      </x:c>
      <x:c r="B12" s="209" t="str">
        <x:v>Result</x:v>
      </x:c>
      <x:c r="C12" s="209" t="str">
        <x:v>Evidence Type</x:v>
      </x:c>
      <x:c r="D12" s="209" t="str">
        <x:v>Interpretation</x:v>
      </x:c>
    </x:row>
    <x:row r="13">
      <x:c r="A13" t="str">
        <x:v>Upfront price difference</x:v>
      </x:c>
      <x:c r="B13" s="168" t="n">
        <x:f>C6-C7</x:f>
        <x:v>11901</x:v>
      </x:c>
      <x:c r="C13" t="str">
        <x:v>CALCULATED</x:v>
      </x:c>
      <x:c r="D13" t="str">
        <x:v>Galaxy S26 is cheaper at listed India price.</x:v>
      </x:c>
    </x:row>
    <x:row r="14">
      <x:c r="A14" t="str">
        <x:v>Galaxy discount vs iPhone</x:v>
      </x:c>
      <x:c r="B14" s="74" t="n">
        <x:f>1-(C7/C6)</x:f>
        <x:v>0.1191291291291291</x:v>
      </x:c>
      <x:c r="C14" t="str">
        <x:v>CALCULATED</x:v>
      </x:c>
      <x:c r="D14" t="str">
        <x:v>Upfront price gap as % of iPhone price.</x:v>
      </x:c>
    </x:row>
    <x:row r="15">
      <x:c r="A15" t="str">
        <x:v>Monthly TCO difference</x:v>
      </x:c>
      <x:c r="B15" s="168" t="n">
        <x:f>J6-J7</x:f>
        <x:v>198.3499999999999</x:v>
      </x:c>
      <x:c r="C15" t="str">
        <x:v>CALCULATED</x:v>
      </x:c>
      <x:c r="D15" t="str">
        <x:v>Under identical 3-year / 40% resale assumptions.</x:v>
      </x:c>
    </x:row>
    <x:row r="16">
      <x:c r="A16" t="str">
        <x:v>iPhone resale needed to match Galaxy TCO</x:v>
      </x:c>
      <x:c r="B16" s="74" t="n">
        <x:f>1-((J7*E6*12)/C6)</x:f>
        <x:v>0.47147747747747737</x:v>
      </x:c>
      <x:c r="C16" t="str">
        <x:v>CALCULATED</x:v>
      </x:c>
      <x:c r="D16" t="str">
        <x:v>If Galaxy retains 40% after 3 years.</x:v>
      </x:c>
    </x:row>
    <x:row r="19">
      <x:c r="A19" s="216" t="str">
        <x:v>Resale Sensitivity — Which phone has the lower monthly TCO?</x:v>
      </x:c>
      <x:c r="B19" s="216"/>
      <x:c r="C19" s="216"/>
      <x:c r="D19" s="216"/>
      <x:c r="E19" s="216"/>
      <x:c r="F19" s="216"/>
      <x:c r="G19" s="216"/>
      <x:c r="H19" s="216"/>
      <x:c r="I19" s="216"/>
      <x:c r="J19" s="216"/>
    </x:row>
    <x:row r="20">
      <x:c r="A20" s="218" t="str">
        <x:v>Each cell shows iPhone monthly TCO minus Galaxy monthly TCO. Negative = iPhone cheaper to own; positive = Galaxy cheaper to own. All values are MODELED.</x:v>
      </x:c>
      <x:c r="B20" s="218"/>
      <x:c r="C20" s="218"/>
      <x:c r="D20" s="218"/>
      <x:c r="E20" s="218"/>
      <x:c r="F20" s="218"/>
      <x:c r="G20" s="218"/>
      <x:c r="H20" s="218"/>
      <x:c r="I20" s="218"/>
      <x:c r="J20" s="218"/>
    </x:row>
    <x:row r="22">
      <x:c r="A22" s="209" t="str">
        <x:v>iPhone resale \ Galaxy resale</x:v>
      </x:c>
      <x:c r="B22" s="219" t="n">
        <x:v>0.25</x:v>
      </x:c>
      <x:c r="C22" s="219" t="n">
        <x:v>0.35</x:v>
      </x:c>
      <x:c r="D22" s="219" t="n">
        <x:v>0.4</x:v>
      </x:c>
      <x:c r="E22" s="219" t="n">
        <x:v>0.45</x:v>
      </x:c>
      <x:c r="F22" s="219" t="n">
        <x:v>0.55</x:v>
      </x:c>
    </x:row>
    <x:row r="23">
      <x:c r="A23" s="165" t="n">
        <x:v>0.3</x:v>
      </x:c>
      <x:c r="B23" s="187" t="n">
        <x:f>(($C$6*(1-$A23))/(3*12))-(($C$7*(1-B$22))/(3*12))</x:f>
        <x:v>109.1875</x:v>
      </x:c>
      <x:c r="C23" s="187" t="n">
        <x:f>(($C$6*(1-$A23))/(3*12))-(($C$7*(1-C$22))/(3*12))</x:f>
        <x:v>353.6291666666666</x:v>
      </x:c>
      <x:c r="D23" s="187" t="n">
        <x:f>(($C$6*(1-$A23))/(3*12))-(($C$7*(1-D$22))/(3*12))</x:f>
        <x:v>475.8499999999999</x:v>
      </x:c>
      <x:c r="E23" s="187" t="n">
        <x:f>(($C$6*(1-$A23))/(3*12))-(($C$7*(1-E$22))/(3*12))</x:f>
        <x:v>598.0708333333332</x:v>
      </x:c>
      <x:c r="F23" s="187" t="n">
        <x:f>(($C$6*(1-$A23))/(3*12))-(($C$7*(1-F$22))/(3*12))</x:f>
        <x:v>842.5125</x:v>
      </x:c>
    </x:row>
    <x:row r="24">
      <x:c r="A24" s="165" t="n">
        <x:v>0.4</x:v>
      </x:c>
      <x:c r="B24" s="187" t="n">
        <x:f>(($C$6*(1-$A24))/(3*12))-(($C$7*(1-B$22))/(3*12))</x:f>
        <x:v>-168.3125</x:v>
      </x:c>
      <x:c r="C24" s="187" t="n">
        <x:f>(($C$6*(1-$A24))/(3*12))-(($C$7*(1-C$22))/(3*12))</x:f>
        <x:v>76.1291666666666</x:v>
      </x:c>
      <x:c r="D24" s="187" t="n">
        <x:f>(($C$6*(1-$A24))/(3*12))-(($C$7*(1-D$22))/(3*12))</x:f>
        <x:v>198.3499999999999</x:v>
      </x:c>
      <x:c r="E24" s="187" t="n">
        <x:f>(($C$6*(1-$A24))/(3*12))-(($C$7*(1-E$22))/(3*12))</x:f>
        <x:v>320.5708333333332</x:v>
      </x:c>
      <x:c r="F24" s="187" t="n">
        <x:f>(($C$6*(1-$A24))/(3*12))-(($C$7*(1-F$22))/(3*12))</x:f>
        <x:v>565.0125</x:v>
      </x:c>
    </x:row>
    <x:row r="25">
      <x:c r="A25" s="165" t="n">
        <x:v>0.5</x:v>
      </x:c>
      <x:c r="B25" s="187" t="n">
        <x:f>(($C$6*(1-$A25))/(3*12))-(($C$7*(1-B$22))/(3*12))</x:f>
        <x:v>-445.8125</x:v>
      </x:c>
      <x:c r="C25" s="187" t="n">
        <x:f>(($C$6*(1-$A25))/(3*12))-(($C$7*(1-C$22))/(3*12))</x:f>
        <x:v>-201.3708333333334</x:v>
      </x:c>
      <x:c r="D25" s="187" t="n">
        <x:f>(($C$6*(1-$A25))/(3*12))-(($C$7*(1-D$22))/(3*12))</x:f>
        <x:v>-79.15000000000009</x:v>
      </x:c>
      <x:c r="E25" s="187" t="n">
        <x:f>(($C$6*(1-$A25))/(3*12))-(($C$7*(1-E$22))/(3*12))</x:f>
        <x:v>43.07083333333321</x:v>
      </x:c>
      <x:c r="F25" s="187" t="n">
        <x:f>(($C$6*(1-$A25))/(3*12))-(($C$7*(1-F$22))/(3*12))</x:f>
        <x:v>287.51250000000005</x:v>
      </x:c>
    </x:row>
    <x:row r="26">
      <x:c r="A26" s="165" t="n">
        <x:v>0.6</x:v>
      </x:c>
      <x:c r="B26" s="187" t="n">
        <x:f>(($C$6*(1-$A26))/(3*12))-(($C$7*(1-B$22))/(3*12))</x:f>
        <x:v>-723.3125</x:v>
      </x:c>
      <x:c r="C26" s="187" t="n">
        <x:f>(($C$6*(1-$A26))/(3*12))-(($C$7*(1-C$22))/(3*12))</x:f>
        <x:v>-478.8708333333334</x:v>
      </x:c>
      <x:c r="D26" s="187" t="n">
        <x:f>(($C$6*(1-$A26))/(3*12))-(($C$7*(1-D$22))/(3*12))</x:f>
        <x:v>-356.6500000000001</x:v>
      </x:c>
      <x:c r="E26" s="187" t="n">
        <x:f>(($C$6*(1-$A26))/(3*12))-(($C$7*(1-E$22))/(3*12))</x:f>
        <x:v>-234.4291666666668</x:v>
      </x:c>
      <x:c r="F26" s="187" t="n">
        <x:f>(($C$6*(1-$A26))/(3*12))-(($C$7*(1-F$22))/(3*12))</x:f>
        <x:v>10.012500000000045</x:v>
      </x:c>
    </x:row>
    <x:row r="27">
      <x:c r="A27" s="165" t="n">
        <x:v>0.7</x:v>
      </x:c>
      <x:c r="B27" s="187" t="n">
        <x:f>(($C$6*(1-$A27))/(3*12))-(($C$7*(1-B$22))/(3*12))</x:f>
        <x:v>-1000.8124999999999</x:v>
      </x:c>
      <x:c r="C27" s="187" t="n">
        <x:f>(($C$6*(1-$A27))/(3*12))-(($C$7*(1-C$22))/(3*12))</x:f>
        <x:v>-756.3708333333333</x:v>
      </x:c>
      <x:c r="D27" s="187" t="n">
        <x:f>(($C$6*(1-$A27))/(3*12))-(($C$7*(1-D$22))/(3*12))</x:f>
        <x:v>-634.15</x:v>
      </x:c>
      <x:c r="E27" s="187" t="n">
        <x:f>(($C$6*(1-$A27))/(3*12))-(($C$7*(1-E$22))/(3*12))</x:f>
        <x:v>-511.9291666666667</x:v>
      </x:c>
      <x:c r="F27" s="187" t="n">
        <x:f>(($C$6*(1-$A27))/(3*12))-(($C$7*(1-F$22))/(3*12))</x:f>
        <x:v>-267.48749999999984</x:v>
      </x:c>
    </x:row>
    <x:row r="30">
      <x:c r="A30" s="209" t="str">
        <x:v>Analyst Interpretation</x:v>
      </x:c>
      <x:c r="B30" s="209"/>
      <x:c r="C30" s="209"/>
      <x:c r="D30" s="209"/>
      <x:c r="E30" s="209"/>
      <x:c r="F30" s="209"/>
      <x:c r="G30" s="209"/>
      <x:c r="H30" s="209"/>
      <x:c r="I30" s="209"/>
      <x:c r="J30" s="209"/>
    </x:row>
    <x:row r="31">
      <x:c r="A31" s="191" t="str">
        <x:v>1</x:v>
      </x:c>
      <x:c r="B31" s="16" t="str">
        <x:v>The Galaxy S26 256GB starts ₹11,901 below the current iPhone 17 256GB India list price.</x:v>
      </x:c>
      <x:c r="C31" s="16"/>
      <x:c r="D31" s="16"/>
      <x:c r="E31" s="16"/>
      <x:c r="F31" s="16"/>
      <x:c r="G31" s="16"/>
      <x:c r="H31" s="16"/>
      <x:c r="I31" s="16"/>
      <x:c r="J31" s="16"/>
    </x:row>
    <x:row r="32">
      <x:c r="A32" s="191" t="str">
        <x:v>2</x:v>
      </x:c>
      <x:c r="B32" s="16" t="str">
        <x:v>With identical 3-year and 40% resale assumptions, the cheaper purchase price gives Galaxy the lower modeled monthly TCO.</x:v>
      </x:c>
      <x:c r="C32" s="16"/>
      <x:c r="D32" s="16"/>
      <x:c r="E32" s="16"/>
      <x:c r="F32" s="16"/>
      <x:c r="G32" s="16"/>
      <x:c r="H32" s="16"/>
      <x:c r="I32" s="16"/>
      <x:c r="J32" s="16"/>
    </x:row>
    <x:row r="33">
      <x:c r="A33" s="191" t="str">
        <x:v>3</x:v>
      </x:c>
      <x:c r="B33" s="16" t="str">
        <x:v>But purchase price alone does not settle ownership economics: if the iPhone retains roughly 47%+ of purchase price after 3 years while Galaxy retains 40%, the modeled monthly TCO becomes comparable.</x:v>
      </x:c>
      <x:c r="C33" s="16"/>
      <x:c r="D33" s="16"/>
      <x:c r="E33" s="16"/>
      <x:c r="F33" s="16"/>
      <x:c r="G33" s="16"/>
      <x:c r="H33" s="16"/>
      <x:c r="I33" s="16"/>
      <x:c r="J33" s="16"/>
    </x:row>
    <x:row r="34">
      <x:c r="A34" s="191" t="str">
        <x:v>4</x:v>
      </x:c>
      <x:c r="B34" s="16" t="str">
        <x:v>This is exactly why brand-specific resale claims should not be invented. The portfolio should show the break-even resale threshold and sensitivity instead of pretending we know future resale values.</x:v>
      </x:c>
      <x:c r="C34" s="16"/>
      <x:c r="D34" s="16"/>
      <x:c r="E34" s="16"/>
      <x:c r="F34" s="16"/>
      <x:c r="G34" s="16"/>
      <x:c r="H34" s="16"/>
      <x:c r="I34" s="16"/>
      <x:c r="J34" s="16"/>
    </x:row>
    <x:row r="37">
      <x:c r="A37" s="220" t="str">
        <x:v>Samsung source: official Samsung India Galaxy S26 launch pricing, 26 Feb 2026. Galaxy S26 12GB/256GB listed at ₹87,999. iPhone price remains linked to the existing Apple India benchmark.</x:v>
      </x:c>
      <x:c r="B37" s="220"/>
      <x:c r="C37" s="220"/>
      <x:c r="D37" s="220"/>
      <x:c r="E37" s="220"/>
      <x:c r="F37" s="220"/>
      <x:c r="G37" s="220"/>
      <x:c r="H37" s="220"/>
      <x:c r="I37" s="220"/>
      <x:c r="J37" s="220"/>
    </x:row>
  </x:sheetData>
  <x:mergeCells>
    <x:mergeCell ref="A1:J1"/>
    <x:mergeCell ref="A3:J3"/>
    <x:mergeCell ref="A10:J10"/>
    <x:mergeCell ref="A19:J19"/>
    <x:mergeCell ref="A20:J20"/>
    <x:mergeCell ref="A30:J30"/>
    <x:mergeCell ref="B31:J31"/>
    <x:mergeCell ref="B32:J32"/>
    <x:mergeCell ref="B33:J33"/>
    <x:mergeCell ref="B34:J34"/>
    <x:mergeCell ref="A37:J37"/>
  </x:mergeCells>
  <x:conditionalFormatting sqref="B23:F27">
    <x:cfRule type="colorScale" priority="1">
      <x:colorScale>
        <x:cfvo type="min"/>
        <x:cfvo type="percentile" val="50"/>
        <x:cfvo type="max"/>
        <x:color rgb="FFE2F0D9"/>
        <x:color rgb="FFFFFFFF"/>
        <x:color rgb="FFF4CCCC"/>
      </x:colorScale>
    </x:cfRule>
  </x:conditionalFormatting>
  <x:pageMargins left="0.7" right="0.7" top="0.75" bottom="0.75" header="0.3" footer="0.3"/>
</x:worksheet>
</file>